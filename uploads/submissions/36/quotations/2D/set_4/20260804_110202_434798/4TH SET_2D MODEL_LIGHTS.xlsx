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madillo\Desktop\Lights\TRAINING\2655RCGR\"/>
    </mc:Choice>
  </mc:AlternateContent>
  <bookViews>
    <workbookView xWindow="-120" yWindow="-120" windowWidth="29040" windowHeight="15840" firstSheet="1" activeTab="1"/>
  </bookViews>
  <sheets>
    <sheet name="見積り書" sheetId="1" r:id="rId1"/>
    <sheet name="明細" sheetId="3" r:id="rId2"/>
    <sheet name="Rank" sheetId="6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3" i="1" l="1"/>
  <c r="H34" i="1" s="1"/>
  <c r="Q3" i="3"/>
  <c r="R3" i="3" s="1"/>
  <c r="Q18" i="3"/>
  <c r="R18" i="3" s="1"/>
  <c r="Q5" i="3"/>
  <c r="R5" i="3" s="1"/>
  <c r="Q4" i="3"/>
  <c r="R4" i="3" s="1"/>
  <c r="K23" i="3" l="1"/>
  <c r="K22" i="3"/>
  <c r="K20" i="3"/>
  <c r="I23" i="3"/>
  <c r="I22" i="3"/>
  <c r="I20" i="3"/>
  <c r="Q19" i="3"/>
  <c r="R19" i="3" s="1"/>
  <c r="Q20" i="3"/>
  <c r="R20" i="3" s="1"/>
  <c r="Q23" i="3" l="1"/>
  <c r="R23" i="3" s="1"/>
  <c r="Q22" i="3"/>
  <c r="R22" i="3" s="1"/>
</calcChain>
</file>

<file path=xl/sharedStrings.xml><?xml version="1.0" encoding="utf-8"?>
<sst xmlns="http://schemas.openxmlformats.org/spreadsheetml/2006/main" count="210" uniqueCount="145">
  <si>
    <t>REFERENCE NO.:</t>
  </si>
  <si>
    <t>DATE:</t>
  </si>
  <si>
    <t>Received by:</t>
  </si>
  <si>
    <t>Approved by:</t>
  </si>
  <si>
    <t>MR. YUICHIRO MAENO</t>
  </si>
  <si>
    <t>President</t>
  </si>
  <si>
    <t>(Signature Over Printed Name)</t>
  </si>
  <si>
    <t>Quotation to</t>
    <phoneticPr fontId="1"/>
  </si>
  <si>
    <t>Upon receipt of this quotation sheet, kindly send us one copy with your signature.</t>
    <phoneticPr fontId="1"/>
  </si>
  <si>
    <t>Unit 2-B Building B, Vital Industrial Properties Inc.,</t>
    <phoneticPr fontId="1"/>
  </si>
  <si>
    <t>First Cavite Industrial Estates (FCIE) PEZA Zone</t>
    <phoneticPr fontId="1"/>
  </si>
  <si>
    <t>Dasmarinas City, Cavite Philippines</t>
    <phoneticPr fontId="1"/>
  </si>
  <si>
    <t>MR. Masahiko Hasegawa</t>
    <phoneticPr fontId="1"/>
  </si>
  <si>
    <t>Kusakabe Electric and Machinery Co.,Ltd.</t>
    <phoneticPr fontId="1"/>
  </si>
  <si>
    <t>11-2,2Chome Murotani Nishiku Kobe, Japan (651-2241)</t>
    <phoneticPr fontId="1"/>
  </si>
  <si>
    <t>TEL 078-992-9102 / FAX 078-992-9119</t>
    <phoneticPr fontId="1"/>
  </si>
  <si>
    <t>Kusakabe &amp; Maeno Tech.,Inc.</t>
    <phoneticPr fontId="1"/>
  </si>
  <si>
    <t>cc: admin/acctg/Engineering</t>
  </si>
  <si>
    <t>A</t>
  </si>
  <si>
    <t>E</t>
  </si>
  <si>
    <t>D</t>
  </si>
  <si>
    <t>C</t>
  </si>
  <si>
    <t>B</t>
  </si>
  <si>
    <t>AA</t>
  </si>
  <si>
    <t>AB</t>
  </si>
  <si>
    <t>Guidelines quotation for drawing and 3D modeling</t>
  </si>
  <si>
    <t>RANK</t>
  </si>
  <si>
    <t>3D MODELING</t>
  </si>
  <si>
    <t>3D PARTS</t>
  </si>
  <si>
    <t>REMARKS</t>
  </si>
  <si>
    <t>E</t>
    <phoneticPr fontId="1"/>
  </si>
  <si>
    <t>D</t>
    <phoneticPr fontId="1"/>
  </si>
  <si>
    <t>C</t>
    <phoneticPr fontId="1"/>
  </si>
  <si>
    <t>B</t>
    <phoneticPr fontId="1"/>
  </si>
  <si>
    <t>A</t>
    <phoneticPr fontId="1"/>
  </si>
  <si>
    <t>AB</t>
    <phoneticPr fontId="1"/>
  </si>
  <si>
    <t>AA</t>
    <phoneticPr fontId="1"/>
  </si>
  <si>
    <t>TEL: +63-(46)-413-4509</t>
    <phoneticPr fontId="1"/>
  </si>
  <si>
    <t>No.</t>
    <phoneticPr fontId="2"/>
  </si>
  <si>
    <t>Construction</t>
    <phoneticPr fontId="2"/>
  </si>
  <si>
    <t>Machine</t>
    <phoneticPr fontId="2"/>
  </si>
  <si>
    <t xml:space="preserve">Unit </t>
    <phoneticPr fontId="2"/>
  </si>
  <si>
    <t>DESCRIPTION</t>
    <phoneticPr fontId="2"/>
  </si>
  <si>
    <t>Qty</t>
    <phoneticPr fontId="2"/>
  </si>
  <si>
    <t>Type</t>
    <phoneticPr fontId="2"/>
  </si>
  <si>
    <t>Price</t>
    <phoneticPr fontId="2"/>
  </si>
  <si>
    <t>Code</t>
    <phoneticPr fontId="2"/>
  </si>
  <si>
    <t>(Page)</t>
    <phoneticPr fontId="2"/>
  </si>
  <si>
    <t>Total Amount</t>
    <phoneticPr fontId="2"/>
  </si>
  <si>
    <t xml:space="preserve">KUSAKABE &amp; MAENO TECH., INC   </t>
    <phoneticPr fontId="1"/>
  </si>
  <si>
    <t>Quotation</t>
    <phoneticPr fontId="1"/>
  </si>
  <si>
    <t>Quotation. NO.:</t>
    <phoneticPr fontId="1"/>
  </si>
  <si>
    <t>ASSEMBLY</t>
  </si>
  <si>
    <t>AC</t>
  </si>
  <si>
    <t>1 day of work</t>
  </si>
  <si>
    <t>1/2 day of work</t>
  </si>
  <si>
    <t>3 days of work</t>
  </si>
  <si>
    <t>2 days of work</t>
  </si>
  <si>
    <t>Guidelines quotation for 2D detailing</t>
    <phoneticPr fontId="2"/>
  </si>
  <si>
    <t>COPY TRACE</t>
    <phoneticPr fontId="2"/>
  </si>
  <si>
    <t>2D Detailing with reference</t>
    <phoneticPr fontId="2"/>
  </si>
  <si>
    <t>2D PARTS (Senior and Junior Level)</t>
    <phoneticPr fontId="2"/>
  </si>
  <si>
    <t>LEVEL</t>
    <phoneticPr fontId="2"/>
  </si>
  <si>
    <t>Senior</t>
    <phoneticPr fontId="2"/>
  </si>
  <si>
    <t>Junior</t>
    <phoneticPr fontId="2"/>
  </si>
  <si>
    <t>2D ASSEMBLY (Senior and Junior Level)</t>
    <phoneticPr fontId="2"/>
  </si>
  <si>
    <t>A</t>
    <phoneticPr fontId="2"/>
  </si>
  <si>
    <t>B</t>
    <phoneticPr fontId="2"/>
  </si>
  <si>
    <t>C</t>
    <phoneticPr fontId="2"/>
  </si>
  <si>
    <t>D</t>
    <phoneticPr fontId="2"/>
  </si>
  <si>
    <t>E</t>
    <phoneticPr fontId="2"/>
  </si>
  <si>
    <t>New
Assy DWG No.</t>
    <phoneticPr fontId="2"/>
  </si>
  <si>
    <t>New Const. No.</t>
    <phoneticPr fontId="2"/>
  </si>
  <si>
    <t>Old
 Parts DWG No.</t>
    <phoneticPr fontId="2"/>
  </si>
  <si>
    <t>New
 Parts DWG No.</t>
    <phoneticPr fontId="2"/>
  </si>
  <si>
    <t>Title</t>
    <phoneticPr fontId="2"/>
  </si>
  <si>
    <t>Qty.</t>
    <phoneticPr fontId="2"/>
  </si>
  <si>
    <t>Mat'l
Weight (kg)</t>
    <phoneticPr fontId="2"/>
  </si>
  <si>
    <t>Total
Mat'l Weight</t>
    <phoneticPr fontId="2"/>
  </si>
  <si>
    <t>Finished
Weight (kg)</t>
    <phoneticPr fontId="2"/>
  </si>
  <si>
    <t>Total Finished
Mat'l Weight</t>
    <phoneticPr fontId="2"/>
  </si>
  <si>
    <t>Date</t>
    <phoneticPr fontId="2"/>
  </si>
  <si>
    <t>Time in
Minutes</t>
    <phoneticPr fontId="2"/>
  </si>
  <si>
    <t>Rank of
Drawing</t>
    <phoneticPr fontId="3" type="noConversion"/>
  </si>
  <si>
    <t>Assy</t>
    <phoneticPr fontId="2"/>
  </si>
  <si>
    <t>Unit Price</t>
    <phoneticPr fontId="3" type="noConversion"/>
  </si>
  <si>
    <t>Sub Total</t>
    <phoneticPr fontId="3" type="noConversion"/>
  </si>
  <si>
    <t>3D Model
by</t>
    <phoneticPr fontId="2"/>
  </si>
  <si>
    <t>3D Check
by</t>
    <phoneticPr fontId="2"/>
  </si>
  <si>
    <t>Started</t>
    <phoneticPr fontId="2"/>
  </si>
  <si>
    <t>Finished</t>
    <phoneticPr fontId="2"/>
  </si>
  <si>
    <t>Associate Director Production Control Department</t>
  </si>
  <si>
    <t>Administrative over head</t>
    <phoneticPr fontId="1"/>
  </si>
  <si>
    <t>AA</t>
    <phoneticPr fontId="2"/>
  </si>
  <si>
    <t>Admin Quotation Template v3.0-2023</t>
    <phoneticPr fontId="1"/>
  </si>
  <si>
    <r>
      <rPr>
        <sz val="11"/>
        <color theme="1"/>
        <rFont val="ＭＳ Ｐゴシック"/>
        <family val="2"/>
        <charset val="128"/>
        <scheme val="minor"/>
      </rPr>
      <t>1 day of work</t>
    </r>
    <r>
      <rPr>
        <sz val="11"/>
        <color theme="1"/>
        <rFont val="ＭＳ Ｐゴシック"/>
        <family val="2"/>
        <charset val="128"/>
        <scheme val="minor"/>
      </rPr>
      <t xml:space="preserve"> and more</t>
    </r>
  </si>
  <si>
    <t>1～2 hours of work</t>
  </si>
  <si>
    <r>
      <t>31 min.～</t>
    </r>
    <r>
      <rPr>
        <sz val="11"/>
        <color theme="1"/>
        <rFont val="ＭＳ Ｐゴシック"/>
        <family val="2"/>
        <charset val="128"/>
        <scheme val="minor"/>
      </rPr>
      <t>1 hour of work</t>
    </r>
  </si>
  <si>
    <r>
      <t>1</t>
    </r>
    <r>
      <rPr>
        <sz val="11"/>
        <color theme="1"/>
        <rFont val="ＭＳ Ｐゴシック"/>
        <family val="2"/>
        <charset val="128"/>
        <scheme val="minor"/>
      </rPr>
      <t>6～</t>
    </r>
    <r>
      <rPr>
        <sz val="11"/>
        <color theme="1"/>
        <rFont val="ＭＳ Ｐゴシック"/>
        <family val="2"/>
        <charset val="128"/>
        <scheme val="minor"/>
      </rPr>
      <t>30 minutes of work</t>
    </r>
  </si>
  <si>
    <t>6～15 minutes of work</t>
  </si>
  <si>
    <t>1～5 minutes of work</t>
  </si>
  <si>
    <t>4 days of work and more</t>
  </si>
  <si>
    <r>
      <t>A</t>
    </r>
    <r>
      <rPr>
        <sz val="11"/>
        <color theme="1"/>
        <rFont val="ＭＳ Ｐゴシック"/>
        <family val="2"/>
        <charset val="128"/>
        <scheme val="minor"/>
      </rPr>
      <t>A</t>
    </r>
  </si>
  <si>
    <r>
      <t>2</t>
    </r>
    <r>
      <rPr>
        <sz val="11"/>
        <color theme="1"/>
        <rFont val="ＭＳ Ｐゴシック"/>
        <family val="2"/>
        <charset val="128"/>
        <scheme val="minor"/>
      </rPr>
      <t xml:space="preserve"> days of work and more</t>
    </r>
  </si>
  <si>
    <r>
      <t>1</t>
    </r>
    <r>
      <rPr>
        <sz val="11"/>
        <color theme="1"/>
        <rFont val="ＭＳ Ｐゴシック"/>
        <family val="2"/>
        <charset val="128"/>
        <scheme val="minor"/>
      </rPr>
      <t xml:space="preserve"> day of work</t>
    </r>
  </si>
  <si>
    <r>
      <t>1</t>
    </r>
    <r>
      <rPr>
        <sz val="11"/>
        <color theme="1"/>
        <rFont val="ＭＳ Ｐゴシック"/>
        <family val="2"/>
        <charset val="128"/>
        <scheme val="minor"/>
      </rPr>
      <t>/2 day of work</t>
    </r>
  </si>
  <si>
    <r>
      <rPr>
        <sz val="11"/>
        <color theme="1"/>
        <rFont val="ＭＳ Ｐゴシック"/>
        <family val="2"/>
        <charset val="128"/>
        <scheme val="minor"/>
      </rPr>
      <t>1～</t>
    </r>
    <r>
      <rPr>
        <sz val="11"/>
        <color theme="1"/>
        <rFont val="ＭＳ Ｐゴシック"/>
        <family val="2"/>
        <charset val="128"/>
        <scheme val="minor"/>
      </rPr>
      <t>2 hours</t>
    </r>
    <r>
      <rPr>
        <sz val="11"/>
        <color theme="1"/>
        <rFont val="ＭＳ Ｐゴシック"/>
        <family val="2"/>
        <charset val="128"/>
        <scheme val="minor"/>
      </rPr>
      <t xml:space="preserve"> of</t>
    </r>
    <r>
      <rPr>
        <sz val="11"/>
        <color indexed="8"/>
        <rFont val="ＭＳ Ｐゴシック"/>
        <family val="3"/>
        <charset val="128"/>
      </rPr>
      <t xml:space="preserve"> work</t>
    </r>
  </si>
  <si>
    <r>
      <t>3</t>
    </r>
    <r>
      <rPr>
        <sz val="11"/>
        <color theme="1"/>
        <rFont val="ＭＳ Ｐゴシック"/>
        <family val="2"/>
        <charset val="128"/>
        <scheme val="minor"/>
      </rPr>
      <t xml:space="preserve">1 min. ～ </t>
    </r>
    <r>
      <rPr>
        <sz val="11"/>
        <color theme="1"/>
        <rFont val="ＭＳ Ｐゴシック"/>
        <family val="2"/>
        <charset val="128"/>
        <scheme val="minor"/>
      </rPr>
      <t>1 hour of work</t>
    </r>
  </si>
  <si>
    <r>
      <t>1</t>
    </r>
    <r>
      <rPr>
        <sz val="11"/>
        <color theme="1"/>
        <rFont val="ＭＳ Ｐゴシック"/>
        <family val="2"/>
        <charset val="128"/>
        <scheme val="minor"/>
      </rPr>
      <t xml:space="preserve"> ～ </t>
    </r>
    <r>
      <rPr>
        <sz val="11"/>
        <color theme="1"/>
        <rFont val="ＭＳ Ｐゴシック"/>
        <family val="2"/>
        <charset val="128"/>
        <scheme val="minor"/>
      </rPr>
      <t>30 minutes of work</t>
    </r>
  </si>
  <si>
    <t>The price will be changed without prior notice due to frequent changes of conversion rate.</t>
    <phoneticPr fontId="1"/>
  </si>
  <si>
    <t>₱/Page</t>
    <phoneticPr fontId="2"/>
  </si>
  <si>
    <t>Parts</t>
    <phoneticPr fontId="1"/>
  </si>
  <si>
    <t>Assembly</t>
    <phoneticPr fontId="1"/>
  </si>
  <si>
    <t>Convertion Rate as of 2023.10.26</t>
    <phoneticPr fontId="2"/>
  </si>
  <si>
    <t>LIGHTS</t>
    <phoneticPr fontId="2"/>
  </si>
  <si>
    <t>プレート</t>
  </si>
  <si>
    <t>カラー</t>
  </si>
  <si>
    <t>エンドプレート</t>
  </si>
  <si>
    <t>フレーム</t>
  </si>
  <si>
    <t>CR19299N01</t>
  </si>
  <si>
    <t>2655RCGR</t>
  </si>
  <si>
    <t>CR19403N01</t>
  </si>
  <si>
    <t>ライナー</t>
  </si>
  <si>
    <t>チョック</t>
  </si>
  <si>
    <t>CR19404A01</t>
  </si>
  <si>
    <t>CR19404B02</t>
  </si>
  <si>
    <t>CR19405N01</t>
  </si>
  <si>
    <t>スクリュウ</t>
  </si>
  <si>
    <t>CR19406N01</t>
  </si>
  <si>
    <t>押え金</t>
  </si>
  <si>
    <t>CR19407N01</t>
  </si>
  <si>
    <t>軸</t>
  </si>
  <si>
    <t>CR19408N01</t>
  </si>
  <si>
    <t>座金</t>
  </si>
  <si>
    <t>CR19409N01</t>
  </si>
  <si>
    <t>CR19410N01</t>
  </si>
  <si>
    <t>CR19411N01</t>
  </si>
  <si>
    <t>CR19412N01</t>
  </si>
  <si>
    <t>CR19413N01</t>
  </si>
  <si>
    <t>CR19414N01</t>
  </si>
  <si>
    <t>CR19415N01</t>
  </si>
  <si>
    <t>CR19417N01</t>
  </si>
  <si>
    <t>CR19061UO1</t>
  </si>
  <si>
    <t>ナット</t>
  </si>
  <si>
    <t>調整ネジ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</si>
</sst>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176" formatCode="&quot;¥&quot;#,##0;[Red]&quot;¥&quot;\-#,##0"/>
    <numFmt numFmtId="177" formatCode="[$¥-411]#,##0;[$¥-411]#,##0"/>
    <numFmt numFmtId="178" formatCode="[$¥-411]#,##0.00;\-[$¥-411]#,##0.00"/>
    <numFmt numFmtId="179" formatCode="[$¥-411]#,##0;[Red][$¥-411]#,##0"/>
    <numFmt numFmtId="180" formatCode="#,##0;[Red]#,##0"/>
    <numFmt numFmtId="181" formatCode="0.0"/>
    <numFmt numFmtId="182" formatCode="[$¥-411]#,##0_);\([$¥-411]#,##0\)"/>
    <numFmt numFmtId="183" formatCode="0.00;\-0;;@"/>
    <numFmt numFmtId="184" formatCode="[$¥-411]#,##0.00_);\([$¥-411]#,##0.00\)"/>
    <numFmt numFmtId="185" formatCode="[$₱-464]#,##0_);[Red]\([$₱-464]#,##0\)"/>
    <numFmt numFmtId="186" formatCode="[$₱-464]#,##0;[Red][$₱-464]#,##0"/>
    <numFmt numFmtId="187" formatCode="[$₱-464]#,##0"/>
  </numFmts>
  <fonts count="28">
    <font>
      <sz val="11"/>
      <color theme="1"/>
      <name val="ＭＳ Ｐゴシック"/>
      <family val="3"/>
      <charset val="128"/>
      <scheme val="minor"/>
    </font>
    <font>
      <sz val="6"/>
      <name val="Calibri"/>
      <family val="2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8"/>
      <color theme="1"/>
      <name val="Anita  Semi-square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 tint="0.499984740745262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ＭＳ Ｐゴシック"/>
      <family val="3"/>
      <charset val="128"/>
    </font>
    <font>
      <b/>
      <sz val="23"/>
      <color theme="1"/>
      <name val="Anita  Semi-square"/>
      <family val="2"/>
    </font>
    <font>
      <b/>
      <sz val="24"/>
      <color theme="1"/>
      <name val="Arial"/>
      <family val="2"/>
    </font>
    <font>
      <b/>
      <sz val="11"/>
      <color rgb="FF0070C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11"/>
      <color theme="1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26" fillId="0" borderId="0">
      <alignment vertical="center"/>
    </xf>
    <xf numFmtId="176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8" fillId="0" borderId="0"/>
  </cellStyleXfs>
  <cellXfs count="172">
    <xf numFmtId="0" fontId="0" fillId="0" borderId="0" xfId="0"/>
    <xf numFmtId="0" fontId="10" fillId="0" borderId="0" xfId="0" applyFont="1"/>
    <xf numFmtId="0" fontId="10" fillId="0" borderId="1" xfId="0" applyFont="1" applyBorder="1"/>
    <xf numFmtId="0" fontId="11" fillId="0" borderId="0" xfId="0" applyFont="1" applyAlignment="1">
      <alignment vertical="center"/>
    </xf>
    <xf numFmtId="0" fontId="10" fillId="0" borderId="2" xfId="0" applyFont="1" applyBorder="1"/>
    <xf numFmtId="0" fontId="12" fillId="0" borderId="0" xfId="0" applyFont="1" applyAlignment="1">
      <alignment vertical="center"/>
    </xf>
    <xf numFmtId="0" fontId="13" fillId="0" borderId="3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0" xfId="0" applyFont="1"/>
    <xf numFmtId="0" fontId="14" fillId="0" borderId="6" xfId="0" applyFont="1" applyBorder="1"/>
    <xf numFmtId="0" fontId="14" fillId="0" borderId="7" xfId="0" applyFont="1" applyBorder="1"/>
    <xf numFmtId="0" fontId="14" fillId="0" borderId="8" xfId="0" applyFont="1" applyBorder="1"/>
    <xf numFmtId="0" fontId="14" fillId="0" borderId="1" xfId="0" applyFont="1" applyBorder="1"/>
    <xf numFmtId="0" fontId="14" fillId="0" borderId="9" xfId="0" applyFont="1" applyBorder="1"/>
    <xf numFmtId="0" fontId="14" fillId="0" borderId="0" xfId="0" applyFont="1" applyAlignment="1">
      <alignment horizontal="right" vertical="center"/>
    </xf>
    <xf numFmtId="0" fontId="15" fillId="0" borderId="0" xfId="0" applyFont="1"/>
    <xf numFmtId="0" fontId="16" fillId="0" borderId="0" xfId="0" applyFont="1"/>
    <xf numFmtId="0" fontId="15" fillId="0" borderId="0" xfId="0" applyFont="1" applyAlignment="1">
      <alignment horizontal="right"/>
    </xf>
    <xf numFmtId="0" fontId="17" fillId="0" borderId="4" xfId="0" applyFont="1" applyBorder="1"/>
    <xf numFmtId="14" fontId="14" fillId="0" borderId="2" xfId="0" applyNumberFormat="1" applyFont="1" applyBorder="1" applyAlignment="1">
      <alignment horizontal="left"/>
    </xf>
    <xf numFmtId="0" fontId="13" fillId="0" borderId="0" xfId="0" applyFont="1"/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178" fontId="10" fillId="0" borderId="0" xfId="0" applyNumberFormat="1" applyFont="1"/>
    <xf numFmtId="0" fontId="18" fillId="0" borderId="7" xfId="0" applyFont="1" applyBorder="1"/>
    <xf numFmtId="0" fontId="13" fillId="0" borderId="7" xfId="0" applyFont="1" applyBorder="1"/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3" fillId="0" borderId="11" xfId="0" applyFont="1" applyBorder="1" applyAlignment="1">
      <alignment horizontal="left" vertical="center"/>
    </xf>
    <xf numFmtId="0" fontId="19" fillId="0" borderId="1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3" fillId="0" borderId="3" xfId="0" applyFont="1" applyBorder="1" applyAlignment="1">
      <alignment horizontal="left" vertical="center"/>
    </xf>
    <xf numFmtId="0" fontId="13" fillId="0" borderId="10" xfId="0" applyFont="1" applyBorder="1" applyAlignment="1">
      <alignment vertical="center"/>
    </xf>
    <xf numFmtId="0" fontId="14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13" fillId="0" borderId="11" xfId="0" applyFont="1" applyBorder="1" applyAlignment="1">
      <alignment vertical="center"/>
    </xf>
    <xf numFmtId="0" fontId="14" fillId="0" borderId="11" xfId="0" applyFont="1" applyBorder="1" applyAlignment="1">
      <alignment horizontal="left" vertical="center"/>
    </xf>
    <xf numFmtId="0" fontId="20" fillId="0" borderId="11" xfId="0" applyFont="1" applyBorder="1" applyAlignment="1">
      <alignment horizontal="left" vertical="center"/>
    </xf>
    <xf numFmtId="0" fontId="21" fillId="0" borderId="0" xfId="0" applyFont="1" applyAlignment="1">
      <alignment vertical="center"/>
    </xf>
    <xf numFmtId="0" fontId="22" fillId="0" borderId="0" xfId="0" applyFont="1"/>
    <xf numFmtId="0" fontId="14" fillId="0" borderId="0" xfId="0" applyFont="1" applyAlignment="1">
      <alignment horizontal="left" vertical="center"/>
    </xf>
    <xf numFmtId="0" fontId="23" fillId="0" borderId="0" xfId="9" applyFont="1"/>
    <xf numFmtId="0" fontId="8" fillId="0" borderId="0" xfId="9"/>
    <xf numFmtId="0" fontId="0" fillId="0" borderId="0" xfId="0" applyAlignment="1">
      <alignment vertical="center"/>
    </xf>
    <xf numFmtId="0" fontId="24" fillId="0" borderId="0" xfId="9" applyFont="1"/>
    <xf numFmtId="0" fontId="9" fillId="0" borderId="0" xfId="9" applyFont="1"/>
    <xf numFmtId="0" fontId="8" fillId="0" borderId="16" xfId="9" applyBorder="1"/>
    <xf numFmtId="0" fontId="9" fillId="0" borderId="16" xfId="9" applyFont="1" applyBorder="1" applyAlignment="1">
      <alignment horizontal="center" vertical="center"/>
    </xf>
    <xf numFmtId="0" fontId="8" fillId="0" borderId="16" xfId="9" applyBorder="1" applyAlignment="1">
      <alignment horizontal="center"/>
    </xf>
    <xf numFmtId="0" fontId="8" fillId="0" borderId="16" xfId="9" applyBorder="1" applyAlignment="1">
      <alignment horizontal="center" vertical="center"/>
    </xf>
    <xf numFmtId="0" fontId="8" fillId="0" borderId="0" xfId="11"/>
    <xf numFmtId="0" fontId="23" fillId="0" borderId="0" xfId="10" applyFont="1"/>
    <xf numFmtId="0" fontId="8" fillId="0" borderId="0" xfId="10"/>
    <xf numFmtId="0" fontId="24" fillId="0" borderId="0" xfId="10" applyFont="1"/>
    <xf numFmtId="0" fontId="9" fillId="0" borderId="0" xfId="11" applyFont="1"/>
    <xf numFmtId="0" fontId="8" fillId="0" borderId="16" xfId="10" applyBorder="1" applyAlignment="1">
      <alignment horizontal="center"/>
    </xf>
    <xf numFmtId="0" fontId="9" fillId="0" borderId="16" xfId="10" applyFont="1" applyBorder="1" applyAlignment="1">
      <alignment horizontal="center" vertical="center"/>
    </xf>
    <xf numFmtId="0" fontId="8" fillId="0" borderId="16" xfId="11" applyBorder="1"/>
    <xf numFmtId="0" fontId="9" fillId="0" borderId="16" xfId="11" applyFont="1" applyBorder="1" applyAlignment="1">
      <alignment horizontal="center" vertical="center"/>
    </xf>
    <xf numFmtId="0" fontId="8" fillId="0" borderId="16" xfId="10" applyBorder="1" applyAlignment="1">
      <alignment horizontal="center" vertical="center"/>
    </xf>
    <xf numFmtId="0" fontId="8" fillId="0" borderId="16" xfId="11" applyBorder="1" applyAlignment="1">
      <alignment horizontal="center" vertical="center"/>
    </xf>
    <xf numFmtId="0" fontId="8" fillId="0" borderId="16" xfId="11" applyBorder="1" applyAlignment="1">
      <alignment horizontal="center"/>
    </xf>
    <xf numFmtId="0" fontId="25" fillId="0" borderId="0" xfId="0" applyFont="1"/>
    <xf numFmtId="14" fontId="6" fillId="0" borderId="17" xfId="0" applyNumberFormat="1" applyFont="1" applyBorder="1" applyAlignment="1">
      <alignment horizontal="center" vertical="center"/>
    </xf>
    <xf numFmtId="14" fontId="6" fillId="0" borderId="18" xfId="0" applyNumberFormat="1" applyFont="1" applyBorder="1" applyAlignment="1">
      <alignment horizontal="center" vertical="center"/>
    </xf>
    <xf numFmtId="182" fontId="6" fillId="2" borderId="19" xfId="0" applyNumberFormat="1" applyFont="1" applyFill="1" applyBorder="1" applyAlignment="1">
      <alignment horizontal="left" vertical="center"/>
    </xf>
    <xf numFmtId="0" fontId="6" fillId="2" borderId="20" xfId="0" applyFont="1" applyFill="1" applyBorder="1" applyAlignment="1">
      <alignment horizontal="left" vertical="center" shrinkToFit="1"/>
    </xf>
    <xf numFmtId="0" fontId="6" fillId="2" borderId="21" xfId="0" applyFont="1" applyFill="1" applyBorder="1" applyAlignment="1">
      <alignment horizontal="left" vertical="center"/>
    </xf>
    <xf numFmtId="0" fontId="6" fillId="2" borderId="22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center" vertical="center"/>
    </xf>
    <xf numFmtId="181" fontId="6" fillId="2" borderId="20" xfId="0" applyNumberFormat="1" applyFont="1" applyFill="1" applyBorder="1" applyAlignment="1">
      <alignment horizontal="center" vertical="center"/>
    </xf>
    <xf numFmtId="183" fontId="6" fillId="2" borderId="21" xfId="0" applyNumberFormat="1" applyFont="1" applyFill="1" applyBorder="1" applyAlignment="1">
      <alignment horizontal="center" vertical="center"/>
    </xf>
    <xf numFmtId="183" fontId="6" fillId="2" borderId="22" xfId="0" applyNumberFormat="1" applyFont="1" applyFill="1" applyBorder="1" applyAlignment="1">
      <alignment horizontal="center" vertical="center"/>
    </xf>
    <xf numFmtId="14" fontId="6" fillId="2" borderId="20" xfId="0" applyNumberFormat="1" applyFont="1" applyFill="1" applyBorder="1" applyAlignment="1">
      <alignment horizontal="center" vertical="center"/>
    </xf>
    <xf numFmtId="14" fontId="6" fillId="2" borderId="22" xfId="0" applyNumberFormat="1" applyFont="1" applyFill="1" applyBorder="1" applyAlignment="1">
      <alignment horizontal="center" vertical="center"/>
    </xf>
    <xf numFmtId="180" fontId="6" fillId="2" borderId="11" xfId="0" applyNumberFormat="1" applyFont="1" applyFill="1" applyBorder="1" applyAlignment="1">
      <alignment horizontal="center" vertical="center"/>
    </xf>
    <xf numFmtId="182" fontId="6" fillId="2" borderId="22" xfId="0" applyNumberFormat="1" applyFont="1" applyFill="1" applyBorder="1" applyAlignment="1">
      <alignment horizontal="left" vertical="center"/>
    </xf>
    <xf numFmtId="0" fontId="7" fillId="0" borderId="20" xfId="0" applyFont="1" applyBorder="1" applyAlignment="1">
      <alignment horizontal="left" vertical="center" shrinkToFit="1"/>
    </xf>
    <xf numFmtId="0" fontId="7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 shrinkToFit="1"/>
    </xf>
    <xf numFmtId="0" fontId="7" fillId="0" borderId="11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/>
    </xf>
    <xf numFmtId="2" fontId="7" fillId="0" borderId="20" xfId="0" applyNumberFormat="1" applyFont="1" applyBorder="1" applyAlignment="1">
      <alignment horizontal="center" vertical="center"/>
    </xf>
    <xf numFmtId="183" fontId="7" fillId="0" borderId="21" xfId="0" applyNumberFormat="1" applyFont="1" applyBorder="1" applyAlignment="1">
      <alignment horizontal="center" vertical="center"/>
    </xf>
    <xf numFmtId="183" fontId="7" fillId="0" borderId="22" xfId="0" applyNumberFormat="1" applyFont="1" applyBorder="1" applyAlignment="1">
      <alignment horizontal="center" vertical="center"/>
    </xf>
    <xf numFmtId="14" fontId="7" fillId="0" borderId="20" xfId="0" applyNumberFormat="1" applyFont="1" applyBorder="1" applyAlignment="1">
      <alignment horizontal="center" vertical="center"/>
    </xf>
    <xf numFmtId="14" fontId="7" fillId="0" borderId="22" xfId="0" applyNumberFormat="1" applyFont="1" applyBorder="1" applyAlignment="1">
      <alignment horizontal="center" vertical="center"/>
    </xf>
    <xf numFmtId="0" fontId="25" fillId="3" borderId="11" xfId="0" applyFont="1" applyFill="1" applyBorder="1" applyAlignment="1">
      <alignment horizontal="center" vertical="center"/>
    </xf>
    <xf numFmtId="180" fontId="25" fillId="3" borderId="11" xfId="0" applyNumberFormat="1" applyFont="1" applyFill="1" applyBorder="1" applyAlignment="1">
      <alignment horizontal="center" vertical="center"/>
    </xf>
    <xf numFmtId="179" fontId="25" fillId="3" borderId="20" xfId="0" applyNumberFormat="1" applyFont="1" applyFill="1" applyBorder="1" applyAlignment="1">
      <alignment horizontal="left" vertical="center"/>
    </xf>
    <xf numFmtId="179" fontId="25" fillId="3" borderId="22" xfId="0" applyNumberFormat="1" applyFont="1" applyFill="1" applyBorder="1" applyAlignment="1">
      <alignment horizontal="left" vertical="center"/>
    </xf>
    <xf numFmtId="0" fontId="25" fillId="0" borderId="0" xfId="0" applyFont="1" applyAlignment="1">
      <alignment horizontal="left"/>
    </xf>
    <xf numFmtId="179" fontId="25" fillId="0" borderId="0" xfId="0" applyNumberFormat="1" applyFont="1" applyAlignment="1">
      <alignment horizontal="left"/>
    </xf>
    <xf numFmtId="180" fontId="7" fillId="0" borderId="11" xfId="0" applyNumberFormat="1" applyFont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20" fontId="25" fillId="0" borderId="0" xfId="0" applyNumberFormat="1" applyFont="1"/>
    <xf numFmtId="0" fontId="7" fillId="0" borderId="23" xfId="0" applyFont="1" applyBorder="1" applyAlignment="1">
      <alignment horizontal="left" vertical="center" shrinkToFit="1"/>
    </xf>
    <xf numFmtId="0" fontId="7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 shrinkToFit="1"/>
    </xf>
    <xf numFmtId="0" fontId="7" fillId="0" borderId="26" xfId="0" applyFont="1" applyBorder="1" applyAlignment="1">
      <alignment horizontal="left" vertical="center"/>
    </xf>
    <xf numFmtId="0" fontId="7" fillId="0" borderId="26" xfId="0" applyFont="1" applyBorder="1" applyAlignment="1">
      <alignment horizontal="center" vertical="center"/>
    </xf>
    <xf numFmtId="2" fontId="7" fillId="0" borderId="23" xfId="0" applyNumberFormat="1" applyFont="1" applyBorder="1" applyAlignment="1">
      <alignment horizontal="center" vertical="center"/>
    </xf>
    <xf numFmtId="183" fontId="7" fillId="0" borderId="24" xfId="0" applyNumberFormat="1" applyFont="1" applyBorder="1" applyAlignment="1">
      <alignment horizontal="center" vertical="center"/>
    </xf>
    <xf numFmtId="183" fontId="7" fillId="0" borderId="25" xfId="0" applyNumberFormat="1" applyFont="1" applyBorder="1" applyAlignment="1">
      <alignment horizontal="center" vertical="center"/>
    </xf>
    <xf numFmtId="14" fontId="7" fillId="0" borderId="23" xfId="0" applyNumberFormat="1" applyFont="1" applyBorder="1" applyAlignment="1">
      <alignment horizontal="center" vertical="center"/>
    </xf>
    <xf numFmtId="14" fontId="7" fillId="0" borderId="25" xfId="0" applyNumberFormat="1" applyFont="1" applyBorder="1" applyAlignment="1">
      <alignment horizontal="center" vertical="center"/>
    </xf>
    <xf numFmtId="0" fontId="25" fillId="3" borderId="26" xfId="0" applyFont="1" applyFill="1" applyBorder="1" applyAlignment="1">
      <alignment horizontal="center" vertical="center"/>
    </xf>
    <xf numFmtId="180" fontId="7" fillId="0" borderId="26" xfId="0" applyNumberFormat="1" applyFont="1" applyBorder="1" applyAlignment="1">
      <alignment horizontal="center" vertical="center"/>
    </xf>
    <xf numFmtId="179" fontId="25" fillId="3" borderId="23" xfId="0" applyNumberFormat="1" applyFont="1" applyFill="1" applyBorder="1" applyAlignment="1">
      <alignment horizontal="left" vertical="center"/>
    </xf>
    <xf numFmtId="179" fontId="25" fillId="3" borderId="25" xfId="0" applyNumberFormat="1" applyFont="1" applyFill="1" applyBorder="1" applyAlignment="1">
      <alignment horizontal="left" vertical="center"/>
    </xf>
    <xf numFmtId="0" fontId="25" fillId="0" borderId="0" xfId="0" applyFont="1" applyAlignment="1">
      <alignment horizontal="center"/>
    </xf>
    <xf numFmtId="181" fontId="25" fillId="0" borderId="0" xfId="0" applyNumberFormat="1" applyFont="1" applyAlignment="1">
      <alignment horizontal="center"/>
    </xf>
    <xf numFmtId="14" fontId="25" fillId="0" borderId="0" xfId="0" applyNumberFormat="1" applyFont="1" applyAlignment="1">
      <alignment horizontal="center"/>
    </xf>
    <xf numFmtId="184" fontId="25" fillId="0" borderId="0" xfId="0" applyNumberFormat="1" applyFont="1" applyAlignment="1">
      <alignment horizontal="left"/>
    </xf>
    <xf numFmtId="0" fontId="26" fillId="0" borderId="16" xfId="9" applyFont="1" applyBorder="1" applyAlignment="1">
      <alignment horizontal="center" vertical="center"/>
    </xf>
    <xf numFmtId="0" fontId="26" fillId="0" borderId="16" xfId="10" applyFont="1" applyBorder="1"/>
    <xf numFmtId="0" fontId="8" fillId="0" borderId="16" xfId="10" applyBorder="1"/>
    <xf numFmtId="0" fontId="26" fillId="0" borderId="16" xfId="11" applyFont="1" applyBorder="1"/>
    <xf numFmtId="0" fontId="23" fillId="0" borderId="0" xfId="11" applyFont="1"/>
    <xf numFmtId="185" fontId="6" fillId="2" borderId="19" xfId="0" applyNumberFormat="1" applyFont="1" applyFill="1" applyBorder="1" applyAlignment="1">
      <alignment horizontal="center" vertical="center"/>
    </xf>
    <xf numFmtId="185" fontId="25" fillId="3" borderId="20" xfId="0" applyNumberFormat="1" applyFont="1" applyFill="1" applyBorder="1" applyAlignment="1">
      <alignment horizontal="center" vertical="center"/>
    </xf>
    <xf numFmtId="185" fontId="25" fillId="3" borderId="22" xfId="0" applyNumberFormat="1" applyFont="1" applyFill="1" applyBorder="1" applyAlignment="1">
      <alignment horizontal="center" vertical="center"/>
    </xf>
    <xf numFmtId="185" fontId="25" fillId="3" borderId="23" xfId="0" applyNumberFormat="1" applyFont="1" applyFill="1" applyBorder="1" applyAlignment="1">
      <alignment horizontal="center" vertical="center"/>
    </xf>
    <xf numFmtId="185" fontId="6" fillId="2" borderId="22" xfId="0" applyNumberFormat="1" applyFont="1" applyFill="1" applyBorder="1" applyAlignment="1">
      <alignment horizontal="center" vertical="center"/>
    </xf>
    <xf numFmtId="185" fontId="8" fillId="0" borderId="16" xfId="15" applyNumberFormat="1" applyBorder="1"/>
    <xf numFmtId="185" fontId="25" fillId="3" borderId="25" xfId="0" applyNumberFormat="1" applyFont="1" applyFill="1" applyBorder="1" applyAlignment="1">
      <alignment horizontal="center" vertical="center"/>
    </xf>
    <xf numFmtId="185" fontId="25" fillId="0" borderId="0" xfId="0" applyNumberFormat="1" applyFont="1" applyAlignment="1">
      <alignment horizontal="center"/>
    </xf>
    <xf numFmtId="186" fontId="25" fillId="0" borderId="0" xfId="0" applyNumberFormat="1" applyFont="1" applyAlignment="1">
      <alignment horizontal="left"/>
    </xf>
    <xf numFmtId="0" fontId="13" fillId="0" borderId="28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187" fontId="14" fillId="0" borderId="11" xfId="0" applyNumberFormat="1" applyFont="1" applyBorder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187" fontId="14" fillId="0" borderId="10" xfId="0" applyNumberFormat="1" applyFont="1" applyBorder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187" fontId="13" fillId="0" borderId="27" xfId="7" applyNumberFormat="1" applyFont="1" applyBorder="1" applyAlignment="1">
      <alignment horizontal="right" vertical="center"/>
    </xf>
    <xf numFmtId="187" fontId="13" fillId="0" borderId="28" xfId="7" applyNumberFormat="1" applyFont="1" applyBorder="1" applyAlignment="1">
      <alignment horizontal="right" vertical="center"/>
    </xf>
    <xf numFmtId="177" fontId="13" fillId="0" borderId="27" xfId="7" applyNumberFormat="1" applyFont="1" applyBorder="1" applyAlignment="1">
      <alignment horizontal="right" vertical="center"/>
    </xf>
    <xf numFmtId="177" fontId="13" fillId="0" borderId="28" xfId="7" applyNumberFormat="1" applyFont="1" applyBorder="1" applyAlignment="1">
      <alignment horizontal="right" vertical="center"/>
    </xf>
    <xf numFmtId="181" fontId="6" fillId="0" borderId="30" xfId="0" applyNumberFormat="1" applyFont="1" applyBorder="1" applyAlignment="1">
      <alignment horizontal="center" vertical="center" wrapText="1"/>
    </xf>
    <xf numFmtId="181" fontId="6" fillId="0" borderId="30" xfId="0" applyNumberFormat="1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181" fontId="6" fillId="0" borderId="17" xfId="0" applyNumberFormat="1" applyFont="1" applyBorder="1" applyAlignment="1">
      <alignment horizontal="center" vertical="center" wrapText="1"/>
    </xf>
    <xf numFmtId="181" fontId="6" fillId="0" borderId="17" xfId="0" applyNumberFormat="1" applyFont="1" applyBorder="1" applyAlignment="1">
      <alignment horizontal="center" vertical="center"/>
    </xf>
    <xf numFmtId="181" fontId="6" fillId="0" borderId="18" xfId="0" applyNumberFormat="1" applyFont="1" applyBorder="1" applyAlignment="1">
      <alignment horizontal="center" vertical="center" wrapText="1"/>
    </xf>
    <xf numFmtId="181" fontId="6" fillId="0" borderId="18" xfId="0" applyNumberFormat="1" applyFont="1" applyBorder="1" applyAlignment="1">
      <alignment horizontal="center" vertical="center"/>
    </xf>
    <xf numFmtId="1" fontId="6" fillId="0" borderId="29" xfId="0" applyNumberFormat="1" applyFont="1" applyBorder="1" applyAlignment="1">
      <alignment horizontal="center" vertical="center" wrapText="1"/>
    </xf>
    <xf numFmtId="1" fontId="6" fillId="0" borderId="29" xfId="0" applyNumberFormat="1" applyFont="1" applyBorder="1" applyAlignment="1">
      <alignment horizontal="center" vertical="center"/>
    </xf>
    <xf numFmtId="14" fontId="6" fillId="0" borderId="29" xfId="0" applyNumberFormat="1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185" fontId="6" fillId="0" borderId="17" xfId="0" applyNumberFormat="1" applyFont="1" applyBorder="1" applyAlignment="1">
      <alignment horizontal="center" vertical="center"/>
    </xf>
    <xf numFmtId="185" fontId="6" fillId="0" borderId="18" xfId="0" applyNumberFormat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</cellXfs>
  <cellStyles count="16">
    <cellStyle name="Currency [0]" xfId="7" builtinId="7"/>
    <cellStyle name="Currency [0] 2" xfId="1"/>
    <cellStyle name="Currency [0] 3" xfId="2"/>
    <cellStyle name="Currency [0] 4" xfId="13"/>
    <cellStyle name="Normal" xfId="0" builtinId="0"/>
    <cellStyle name="Normal 2" xfId="3"/>
    <cellStyle name="Normal 2 2" xfId="4"/>
    <cellStyle name="Normal 2 3" xfId="15"/>
    <cellStyle name="Normal 3" xfId="5"/>
    <cellStyle name="Normal 4" xfId="6"/>
    <cellStyle name="Normal 5" xfId="12"/>
    <cellStyle name="Percent 2" xfId="14"/>
    <cellStyle name="標準 2" xfId="9"/>
    <cellStyle name="標準 3" xfId="10"/>
    <cellStyle name="標準 4" xfId="11"/>
    <cellStyle name="通貨 2" xfId="8"/>
  </cellStyles>
  <dxfs count="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222437</xdr:colOff>
      <xdr:row>0</xdr:row>
      <xdr:rowOff>104775</xdr:rowOff>
    </xdr:from>
    <xdr:to>
      <xdr:col>2</xdr:col>
      <xdr:colOff>384362</xdr:colOff>
      <xdr:row>7</xdr:row>
      <xdr:rowOff>152400</xdr:rowOff>
    </xdr:to>
    <xdr:pic>
      <xdr:nvPicPr>
        <xdr:cNvPr id="2849" name="Picture 1">
          <a:extLst>
            <a:ext uri="{FF2B5EF4-FFF2-40B4-BE49-F238E27FC236}">
              <a16:creationId xmlns:a16="http://schemas.microsoft.com/office/drawing/2014/main" xmlns="" id="{00000000-0008-0000-0000-00002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2437" y="104775"/>
          <a:ext cx="1282513" cy="1459566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2"/>
  <sheetViews>
    <sheetView zoomScale="85" zoomScaleNormal="85" workbookViewId="0">
      <selection activeCell="N33" sqref="N33"/>
    </sheetView>
  </sheetViews>
  <sheetFormatPr defaultColWidth="9.125" defaultRowHeight="20.100000000000001" customHeight="1"/>
  <cols>
    <col min="1" max="1" width="4.625" style="1" customWidth="1"/>
    <col min="2" max="2" width="10.125" style="1" customWidth="1"/>
    <col min="3" max="4" width="7.625" style="1" customWidth="1"/>
    <col min="5" max="5" width="27.625" style="1" customWidth="1"/>
    <col min="6" max="7" width="7.625" style="1" customWidth="1"/>
    <col min="8" max="8" width="10.25" style="1" customWidth="1"/>
    <col min="9" max="9" width="15.625" style="1" customWidth="1"/>
    <col min="10" max="16384" width="9.125" style="1"/>
  </cols>
  <sheetData>
    <row r="1" spans="1:18" ht="15" customHeight="1"/>
    <row r="2" spans="1:18" ht="15" customHeight="1">
      <c r="B2" s="5"/>
      <c r="D2" s="137" t="s">
        <v>49</v>
      </c>
      <c r="E2" s="137"/>
      <c r="F2" s="137"/>
      <c r="G2" s="137"/>
      <c r="H2" s="137"/>
      <c r="I2" s="137"/>
    </row>
    <row r="3" spans="1:18" ht="15" customHeight="1">
      <c r="B3" s="5"/>
      <c r="C3" s="42"/>
      <c r="D3" s="137"/>
      <c r="E3" s="137"/>
      <c r="F3" s="137"/>
      <c r="G3" s="137"/>
      <c r="H3" s="137"/>
      <c r="I3" s="137"/>
      <c r="K3" s="5"/>
      <c r="L3" s="5"/>
      <c r="M3" s="5"/>
      <c r="N3" s="5"/>
      <c r="O3" s="5"/>
      <c r="P3" s="5"/>
      <c r="Q3" s="5"/>
      <c r="R3" s="5"/>
    </row>
    <row r="4" spans="1:18" ht="15" customHeight="1">
      <c r="C4" s="42"/>
      <c r="D4" s="42"/>
      <c r="E4" s="42"/>
      <c r="F4" s="42"/>
      <c r="G4" s="42"/>
      <c r="H4" s="42"/>
      <c r="I4" s="42"/>
      <c r="K4" s="5"/>
      <c r="L4" s="5"/>
      <c r="M4" s="5"/>
      <c r="N4" s="5"/>
      <c r="O4" s="5"/>
      <c r="P4" s="5"/>
      <c r="Q4" s="5"/>
      <c r="R4" s="5"/>
    </row>
    <row r="5" spans="1:18" ht="15" customHeight="1">
      <c r="D5" s="141" t="s">
        <v>50</v>
      </c>
      <c r="E5" s="141"/>
      <c r="F5" s="141"/>
      <c r="G5" s="141"/>
    </row>
    <row r="6" spans="1:18" ht="20.100000000000001" customHeight="1">
      <c r="B6" s="3"/>
      <c r="C6" s="43"/>
      <c r="D6" s="141"/>
      <c r="E6" s="141"/>
      <c r="F6" s="141"/>
      <c r="G6" s="141"/>
      <c r="H6" s="3"/>
      <c r="I6" s="3"/>
    </row>
    <row r="7" spans="1:18" ht="17.100000000000001" customHeight="1"/>
    <row r="8" spans="1:18" ht="17.100000000000001" customHeight="1" thickBot="1">
      <c r="F8" s="44" t="s">
        <v>51</v>
      </c>
      <c r="G8" s="15"/>
      <c r="H8" s="13"/>
      <c r="I8" s="2"/>
    </row>
    <row r="9" spans="1:18" ht="17.100000000000001" customHeight="1" thickBot="1">
      <c r="F9" s="44" t="s">
        <v>0</v>
      </c>
      <c r="G9" s="15"/>
      <c r="H9" s="9"/>
    </row>
    <row r="10" spans="1:18" ht="17.100000000000001" customHeight="1" thickBot="1">
      <c r="F10" s="44" t="s">
        <v>1</v>
      </c>
      <c r="G10" s="15"/>
      <c r="H10" s="20"/>
      <c r="I10" s="4"/>
    </row>
    <row r="11" spans="1:18" s="9" customFormat="1" ht="17.100000000000001" customHeight="1">
      <c r="A11" s="6" t="s">
        <v>7</v>
      </c>
      <c r="B11" s="7"/>
      <c r="C11" s="7"/>
      <c r="D11" s="7"/>
      <c r="E11" s="7"/>
      <c r="F11" s="19"/>
      <c r="G11" s="7"/>
      <c r="H11" s="7"/>
      <c r="I11" s="8"/>
    </row>
    <row r="12" spans="1:18" s="9" customFormat="1" ht="17.100000000000001" customHeight="1">
      <c r="A12" s="26" t="s">
        <v>13</v>
      </c>
      <c r="F12" s="21" t="s">
        <v>16</v>
      </c>
      <c r="I12" s="10"/>
    </row>
    <row r="13" spans="1:18" s="9" customFormat="1" ht="17.100000000000001" customHeight="1">
      <c r="A13" s="25" t="s">
        <v>12</v>
      </c>
      <c r="F13" s="9" t="s">
        <v>9</v>
      </c>
      <c r="I13" s="10"/>
    </row>
    <row r="14" spans="1:18" s="9" customFormat="1" ht="17.100000000000001" customHeight="1">
      <c r="A14" s="11" t="s">
        <v>91</v>
      </c>
      <c r="F14" s="9" t="s">
        <v>10</v>
      </c>
      <c r="I14" s="10"/>
    </row>
    <row r="15" spans="1:18" s="9" customFormat="1" ht="17.100000000000001" customHeight="1">
      <c r="A15" s="11" t="s">
        <v>14</v>
      </c>
      <c r="F15" s="9" t="s">
        <v>11</v>
      </c>
      <c r="I15" s="10"/>
    </row>
    <row r="16" spans="1:18" s="9" customFormat="1" ht="17.100000000000001" customHeight="1" thickBot="1">
      <c r="A16" s="12" t="s">
        <v>15</v>
      </c>
      <c r="B16" s="13"/>
      <c r="C16" s="13"/>
      <c r="D16" s="13"/>
      <c r="E16" s="13"/>
      <c r="F16" s="13" t="s">
        <v>37</v>
      </c>
      <c r="G16" s="13"/>
      <c r="H16" s="13"/>
      <c r="I16" s="14"/>
    </row>
    <row r="17" spans="1:10" ht="17.100000000000001" customHeight="1" thickBot="1"/>
    <row r="18" spans="1:10" ht="17.100000000000001" customHeight="1">
      <c r="A18" s="30" t="s">
        <v>38</v>
      </c>
      <c r="B18" s="31" t="s">
        <v>39</v>
      </c>
      <c r="C18" s="30" t="s">
        <v>40</v>
      </c>
      <c r="D18" s="30" t="s">
        <v>41</v>
      </c>
      <c r="E18" s="30" t="s">
        <v>42</v>
      </c>
      <c r="F18" s="31" t="s">
        <v>43</v>
      </c>
      <c r="G18" s="30" t="s">
        <v>44</v>
      </c>
      <c r="H18" s="138" t="s">
        <v>45</v>
      </c>
      <c r="I18" s="138"/>
    </row>
    <row r="19" spans="1:10" ht="17.100000000000001" customHeight="1" thickBot="1">
      <c r="A19" s="32"/>
      <c r="B19" s="33" t="s">
        <v>38</v>
      </c>
      <c r="C19" s="34" t="s">
        <v>46</v>
      </c>
      <c r="D19" s="32" t="s">
        <v>46</v>
      </c>
      <c r="E19" s="32"/>
      <c r="F19" s="33" t="s">
        <v>47</v>
      </c>
      <c r="G19" s="34"/>
      <c r="H19" s="139"/>
      <c r="I19" s="139"/>
      <c r="J19" s="24"/>
    </row>
    <row r="20" spans="1:10" ht="17.100000000000001" customHeight="1">
      <c r="A20" s="27"/>
      <c r="B20" s="35"/>
      <c r="C20" s="36"/>
      <c r="D20" s="37"/>
      <c r="E20" s="38"/>
      <c r="F20" s="22"/>
      <c r="G20" s="22"/>
      <c r="H20" s="140"/>
      <c r="I20" s="140"/>
      <c r="J20" s="24"/>
    </row>
    <row r="21" spans="1:10" ht="17.100000000000001" customHeight="1">
      <c r="A21" s="23"/>
      <c r="B21" s="29"/>
      <c r="C21" s="39"/>
      <c r="D21" s="40"/>
      <c r="E21" s="41"/>
      <c r="F21" s="23"/>
      <c r="G21" s="23"/>
      <c r="H21" s="136"/>
      <c r="I21" s="136"/>
      <c r="J21" s="24"/>
    </row>
    <row r="22" spans="1:10" ht="17.100000000000001" customHeight="1">
      <c r="A22" s="23"/>
      <c r="B22" s="29"/>
      <c r="C22" s="39"/>
      <c r="D22" s="40"/>
      <c r="E22" s="41"/>
      <c r="F22" s="23"/>
      <c r="G22" s="23"/>
      <c r="H22" s="136"/>
      <c r="I22" s="136"/>
      <c r="J22" s="24"/>
    </row>
    <row r="23" spans="1:10" ht="17.100000000000001" customHeight="1">
      <c r="A23" s="23"/>
      <c r="B23" s="29"/>
      <c r="C23" s="39"/>
      <c r="D23" s="40"/>
      <c r="E23" s="41"/>
      <c r="F23" s="23"/>
      <c r="G23" s="23"/>
      <c r="H23" s="136"/>
      <c r="I23" s="136"/>
      <c r="J23" s="24"/>
    </row>
    <row r="24" spans="1:10" ht="17.100000000000001" customHeight="1">
      <c r="A24" s="23"/>
      <c r="B24" s="29"/>
      <c r="C24" s="39"/>
      <c r="D24" s="40"/>
      <c r="E24" s="41"/>
      <c r="F24" s="23"/>
      <c r="G24" s="23"/>
      <c r="H24" s="136"/>
      <c r="I24" s="136"/>
      <c r="J24" s="24"/>
    </row>
    <row r="25" spans="1:10" ht="17.100000000000001" customHeight="1">
      <c r="A25" s="28"/>
      <c r="B25" s="29"/>
      <c r="C25" s="39"/>
      <c r="D25" s="40"/>
      <c r="E25" s="41"/>
      <c r="F25" s="23"/>
      <c r="G25" s="23"/>
      <c r="H25" s="136"/>
      <c r="I25" s="136"/>
      <c r="J25" s="24"/>
    </row>
    <row r="26" spans="1:10" ht="17.100000000000001" customHeight="1">
      <c r="A26" s="23"/>
      <c r="B26" s="29"/>
      <c r="C26" s="39"/>
      <c r="D26" s="40"/>
      <c r="E26" s="41" t="s">
        <v>92</v>
      </c>
      <c r="F26" s="23"/>
      <c r="G26" s="23"/>
      <c r="H26" s="136"/>
      <c r="I26" s="136"/>
      <c r="J26" s="24"/>
    </row>
    <row r="27" spans="1:10" ht="17.100000000000001" customHeight="1">
      <c r="A27" s="23"/>
      <c r="B27" s="29"/>
      <c r="C27" s="39"/>
      <c r="D27" s="40"/>
      <c r="E27" s="41"/>
      <c r="F27" s="23"/>
      <c r="G27" s="23"/>
      <c r="H27" s="136"/>
      <c r="I27" s="136"/>
    </row>
    <row r="28" spans="1:10" ht="17.100000000000001" customHeight="1">
      <c r="A28" s="23"/>
      <c r="B28" s="29"/>
      <c r="C28" s="39"/>
      <c r="D28" s="40"/>
      <c r="E28" s="41"/>
      <c r="F28" s="23"/>
      <c r="G28" s="23"/>
      <c r="H28" s="136"/>
      <c r="I28" s="136"/>
    </row>
    <row r="29" spans="1:10" ht="17.100000000000001" customHeight="1">
      <c r="A29" s="23"/>
      <c r="B29" s="29"/>
      <c r="C29" s="39"/>
      <c r="D29" s="40"/>
      <c r="E29" s="41"/>
      <c r="F29" s="23"/>
      <c r="G29" s="23"/>
      <c r="H29" s="136"/>
      <c r="I29" s="136"/>
    </row>
    <row r="30" spans="1:10" ht="17.100000000000001" customHeight="1">
      <c r="A30" s="23"/>
      <c r="B30" s="29"/>
      <c r="C30" s="39"/>
      <c r="D30" s="40"/>
      <c r="E30" s="41"/>
      <c r="F30" s="23"/>
      <c r="G30" s="23"/>
      <c r="H30" s="136"/>
      <c r="I30" s="136"/>
    </row>
    <row r="31" spans="1:10" ht="17.100000000000001" customHeight="1">
      <c r="A31" s="23"/>
      <c r="B31" s="29"/>
      <c r="C31" s="39"/>
      <c r="D31" s="40"/>
      <c r="E31" s="40"/>
      <c r="F31" s="23"/>
      <c r="G31" s="23"/>
      <c r="H31" s="136"/>
      <c r="I31" s="136"/>
    </row>
    <row r="32" spans="1:10" ht="17.100000000000001" customHeight="1" thickBot="1">
      <c r="A32" s="23"/>
      <c r="B32" s="29"/>
      <c r="C32" s="39"/>
      <c r="D32" s="40"/>
      <c r="E32" s="41"/>
      <c r="F32" s="23"/>
      <c r="G32" s="23"/>
      <c r="H32" s="136"/>
      <c r="I32" s="136"/>
      <c r="J32" s="24"/>
    </row>
    <row r="33" spans="1:9" ht="17.100000000000001" customHeight="1" thickBot="1">
      <c r="A33" s="142" t="s">
        <v>48</v>
      </c>
      <c r="B33" s="143"/>
      <c r="C33" s="143"/>
      <c r="D33" s="143"/>
      <c r="E33" s="143"/>
      <c r="F33" s="143"/>
      <c r="G33" s="144"/>
      <c r="H33" s="145">
        <f>SUM(H20:I32)</f>
        <v>0</v>
      </c>
      <c r="I33" s="146"/>
    </row>
    <row r="34" spans="1:9" ht="17.100000000000001" customHeight="1" thickBot="1">
      <c r="A34" s="142" t="s">
        <v>113</v>
      </c>
      <c r="B34" s="143"/>
      <c r="C34" s="143"/>
      <c r="D34" s="143"/>
      <c r="E34" s="143"/>
      <c r="F34" s="143"/>
      <c r="G34" s="134">
        <v>0.37959999999999999</v>
      </c>
      <c r="H34" s="147">
        <f>H33/G34</f>
        <v>0</v>
      </c>
      <c r="I34" s="148"/>
    </row>
    <row r="35" spans="1:9" ht="17.100000000000001" customHeight="1">
      <c r="A35" s="9" t="s">
        <v>8</v>
      </c>
      <c r="B35" s="9"/>
      <c r="C35" s="9"/>
      <c r="D35" s="9"/>
      <c r="E35" s="9"/>
      <c r="F35" s="9"/>
      <c r="G35" s="9"/>
      <c r="H35" s="9"/>
      <c r="I35" s="9"/>
    </row>
    <row r="36" spans="1:9" ht="17.100000000000001" customHeight="1">
      <c r="A36" s="9" t="s">
        <v>109</v>
      </c>
      <c r="B36" s="9"/>
      <c r="C36" s="9"/>
      <c r="D36" s="9"/>
      <c r="E36" s="9"/>
      <c r="F36" s="9"/>
      <c r="G36" s="9"/>
      <c r="H36" s="9"/>
      <c r="I36" s="9"/>
    </row>
    <row r="37" spans="1:9" ht="17.100000000000001" customHeight="1">
      <c r="A37" s="9"/>
      <c r="B37" s="9"/>
      <c r="C37" s="9"/>
      <c r="D37" s="9"/>
      <c r="E37" s="9"/>
      <c r="F37" s="9"/>
      <c r="G37" s="9"/>
      <c r="H37" s="9"/>
      <c r="I37" s="9"/>
    </row>
    <row r="38" spans="1:9" ht="17.100000000000001" customHeight="1">
      <c r="A38" s="9" t="s">
        <v>3</v>
      </c>
      <c r="B38" s="9"/>
      <c r="C38" s="9"/>
      <c r="D38" s="9"/>
      <c r="E38" s="9"/>
      <c r="F38" s="9" t="s">
        <v>2</v>
      </c>
      <c r="G38" s="9"/>
      <c r="H38" s="9"/>
      <c r="I38" s="9"/>
    </row>
    <row r="39" spans="1:9" ht="17.100000000000001" customHeight="1">
      <c r="A39" s="9"/>
      <c r="B39" s="9"/>
      <c r="C39" s="9"/>
      <c r="D39" s="9"/>
      <c r="E39" s="9"/>
      <c r="F39" s="9"/>
      <c r="G39" s="9"/>
      <c r="H39" s="9"/>
      <c r="I39" s="9"/>
    </row>
    <row r="40" spans="1:9" ht="17.100000000000001" customHeight="1" thickBot="1">
      <c r="A40" s="13"/>
      <c r="B40" s="13"/>
      <c r="C40" s="13"/>
      <c r="D40" s="9"/>
      <c r="E40" s="9"/>
      <c r="F40" s="13"/>
      <c r="G40" s="13"/>
      <c r="H40" s="13"/>
      <c r="I40" s="9"/>
    </row>
    <row r="41" spans="1:9" ht="17.100000000000001" customHeight="1">
      <c r="A41" s="9" t="s">
        <v>4</v>
      </c>
      <c r="B41" s="9"/>
      <c r="C41" s="9"/>
      <c r="D41" s="9"/>
      <c r="E41" s="9"/>
      <c r="F41" s="9" t="s">
        <v>6</v>
      </c>
      <c r="G41" s="9"/>
      <c r="H41" s="9"/>
      <c r="I41" s="9"/>
    </row>
    <row r="42" spans="1:9" ht="17.100000000000001" customHeight="1">
      <c r="A42" s="9" t="s">
        <v>5</v>
      </c>
      <c r="B42" s="9"/>
      <c r="C42" s="9"/>
      <c r="D42" s="9"/>
      <c r="E42" s="9"/>
      <c r="F42" s="9"/>
      <c r="G42" s="9"/>
      <c r="H42" s="9"/>
      <c r="I42" s="9"/>
    </row>
    <row r="43" spans="1:9" ht="17.100000000000001" customHeight="1">
      <c r="A43" s="9"/>
      <c r="B43" s="9"/>
      <c r="C43" s="9"/>
      <c r="D43" s="9"/>
      <c r="E43" s="9"/>
      <c r="F43" s="9"/>
      <c r="G43" s="9"/>
      <c r="H43" s="9"/>
      <c r="I43" s="9"/>
    </row>
    <row r="44" spans="1:9" ht="17.100000000000001" customHeight="1">
      <c r="A44" s="9"/>
      <c r="B44" s="9"/>
      <c r="C44" s="9"/>
      <c r="D44" s="9"/>
      <c r="E44" s="9"/>
      <c r="F44" s="9"/>
      <c r="G44" s="9"/>
      <c r="H44" s="9"/>
      <c r="I44" s="9"/>
    </row>
    <row r="45" spans="1:9" ht="17.100000000000001" customHeight="1">
      <c r="A45" s="16" t="s">
        <v>17</v>
      </c>
      <c r="B45" s="17"/>
      <c r="C45" s="17"/>
      <c r="D45" s="17"/>
      <c r="E45" s="17"/>
      <c r="F45" s="17"/>
      <c r="G45" s="17"/>
      <c r="H45" s="17"/>
      <c r="I45" s="18" t="s">
        <v>94</v>
      </c>
    </row>
    <row r="46" spans="1:9" ht="17.100000000000001" customHeight="1"/>
    <row r="47" spans="1:9" ht="17.100000000000001" customHeight="1"/>
    <row r="48" spans="1:9" ht="17.100000000000001" customHeight="1"/>
    <row r="49" ht="17.100000000000001" customHeight="1"/>
    <row r="50" ht="17.100000000000001" customHeight="1"/>
    <row r="51" ht="17.100000000000001" customHeight="1"/>
    <row r="52" ht="17.100000000000001" customHeight="1"/>
  </sheetData>
  <mergeCells count="21">
    <mergeCell ref="H31:I31"/>
    <mergeCell ref="A33:G33"/>
    <mergeCell ref="H33:I33"/>
    <mergeCell ref="H32:I32"/>
    <mergeCell ref="H34:I34"/>
    <mergeCell ref="A34:F34"/>
    <mergeCell ref="H26:I26"/>
    <mergeCell ref="H30:I30"/>
    <mergeCell ref="H27:I27"/>
    <mergeCell ref="D2:I3"/>
    <mergeCell ref="H18:I18"/>
    <mergeCell ref="H19:I19"/>
    <mergeCell ref="H20:I20"/>
    <mergeCell ref="H21:I21"/>
    <mergeCell ref="H22:I22"/>
    <mergeCell ref="H23:I23"/>
    <mergeCell ref="H24:I24"/>
    <mergeCell ref="D5:G6"/>
    <mergeCell ref="H25:I25"/>
    <mergeCell ref="H28:I28"/>
    <mergeCell ref="H29:I29"/>
  </mergeCells>
  <phoneticPr fontId="1"/>
  <pageMargins left="0.35" right="0.25" top="0.45" bottom="0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2"/>
  <sheetViews>
    <sheetView tabSelected="1" topLeftCell="K1" zoomScaleNormal="100" workbookViewId="0">
      <pane ySplit="2" topLeftCell="A3" activePane="bottomLeft" state="frozen"/>
      <selection pane="bottomLeft" activeCell="Q20" sqref="Q20"/>
    </sheetView>
  </sheetViews>
  <sheetFormatPr defaultColWidth="9" defaultRowHeight="15" customHeight="1"/>
  <cols>
    <col min="1" max="1" width="5.625" style="116" customWidth="1"/>
    <col min="2" max="4" width="15.625" style="96" customWidth="1"/>
    <col min="5" max="6" width="35.625" style="96" customWidth="1"/>
    <col min="7" max="7" width="5.625" style="116" bestFit="1" customWidth="1"/>
    <col min="8" max="11" width="12.625" style="117" customWidth="1"/>
    <col min="12" max="13" width="12.625" style="118" customWidth="1"/>
    <col min="14" max="15" width="8.625" style="116" customWidth="1"/>
    <col min="16" max="16" width="5.625" style="116" customWidth="1"/>
    <col min="17" max="18" width="10.625" style="132" customWidth="1"/>
    <col min="19" max="20" width="12.625" style="96" customWidth="1"/>
    <col min="21" max="21" width="9" style="66"/>
    <col min="22" max="22" width="10" style="66" bestFit="1" customWidth="1"/>
    <col min="23" max="23" width="4.625" style="66" bestFit="1" customWidth="1"/>
    <col min="24" max="24" width="9.25" style="66" bestFit="1" customWidth="1"/>
    <col min="25" max="31" width="9" style="66"/>
    <col min="32" max="32" width="12.125" style="66" bestFit="1" customWidth="1"/>
    <col min="33" max="16384" width="9" style="66"/>
  </cols>
  <sheetData>
    <row r="1" spans="1:33" ht="24.95" customHeight="1" thickBot="1">
      <c r="A1" s="100"/>
      <c r="B1" s="153" t="s">
        <v>71</v>
      </c>
      <c r="C1" s="151" t="s">
        <v>72</v>
      </c>
      <c r="D1" s="151" t="s">
        <v>73</v>
      </c>
      <c r="E1" s="156" t="s">
        <v>74</v>
      </c>
      <c r="F1" s="152" t="s">
        <v>75</v>
      </c>
      <c r="G1" s="152" t="s">
        <v>76</v>
      </c>
      <c r="H1" s="158" t="s">
        <v>77</v>
      </c>
      <c r="I1" s="149" t="s">
        <v>78</v>
      </c>
      <c r="J1" s="149" t="s">
        <v>79</v>
      </c>
      <c r="K1" s="160" t="s">
        <v>80</v>
      </c>
      <c r="L1" s="164" t="s">
        <v>81</v>
      </c>
      <c r="M1" s="164"/>
      <c r="N1" s="162" t="s">
        <v>82</v>
      </c>
      <c r="O1" s="165" t="s">
        <v>83</v>
      </c>
      <c r="P1" s="152" t="s">
        <v>84</v>
      </c>
      <c r="Q1" s="166" t="s">
        <v>85</v>
      </c>
      <c r="R1" s="167" t="s">
        <v>86</v>
      </c>
      <c r="S1" s="153" t="s">
        <v>87</v>
      </c>
      <c r="T1" s="156" t="s">
        <v>88</v>
      </c>
    </row>
    <row r="2" spans="1:33" ht="24.95" customHeight="1" thickBot="1">
      <c r="A2" s="100"/>
      <c r="B2" s="154"/>
      <c r="C2" s="151"/>
      <c r="D2" s="155"/>
      <c r="E2" s="157"/>
      <c r="F2" s="152"/>
      <c r="G2" s="152"/>
      <c r="H2" s="159"/>
      <c r="I2" s="150"/>
      <c r="J2" s="150"/>
      <c r="K2" s="161"/>
      <c r="L2" s="67" t="s">
        <v>89</v>
      </c>
      <c r="M2" s="68" t="s">
        <v>90</v>
      </c>
      <c r="N2" s="163"/>
      <c r="O2" s="152"/>
      <c r="P2" s="152"/>
      <c r="Q2" s="166"/>
      <c r="R2" s="167"/>
      <c r="S2" s="154"/>
      <c r="T2" s="157"/>
    </row>
    <row r="3" spans="1:33" ht="15" customHeight="1">
      <c r="A3" s="100"/>
      <c r="B3" s="70" t="s">
        <v>142</v>
      </c>
      <c r="C3" s="71" t="s">
        <v>120</v>
      </c>
      <c r="D3" s="71"/>
      <c r="E3" s="72"/>
      <c r="F3" s="73"/>
      <c r="G3" s="74"/>
      <c r="H3" s="75"/>
      <c r="I3" s="76"/>
      <c r="J3" s="76"/>
      <c r="K3" s="77"/>
      <c r="L3" s="78">
        <v>46237</v>
      </c>
      <c r="M3" s="79">
        <v>46237</v>
      </c>
      <c r="N3" s="74">
        <v>90</v>
      </c>
      <c r="O3" s="74"/>
      <c r="P3" s="80">
        <v>1</v>
      </c>
      <c r="Q3" s="125" t="str">
        <f>IFERROR(INDEX(X$37:X$42,MATCH(O3,W$37:W$42,0)),"")</f>
        <v/>
      </c>
      <c r="R3" s="129" t="str">
        <f>IFERROR((1*Q:Q),"")</f>
        <v/>
      </c>
      <c r="S3" s="69"/>
      <c r="T3" s="81"/>
      <c r="Y3" s="101"/>
      <c r="Z3" s="101"/>
      <c r="AA3" s="101"/>
      <c r="AC3" s="101"/>
      <c r="AD3" s="101"/>
      <c r="AE3" s="101"/>
      <c r="AF3" s="101"/>
      <c r="AG3" s="101"/>
    </row>
    <row r="4" spans="1:33" ht="15" customHeight="1">
      <c r="A4" s="100"/>
      <c r="B4" s="82"/>
      <c r="C4" s="83"/>
      <c r="D4" s="83"/>
      <c r="E4" s="84" t="s">
        <v>119</v>
      </c>
      <c r="F4" s="85" t="s">
        <v>117</v>
      </c>
      <c r="G4" s="86"/>
      <c r="H4" s="87"/>
      <c r="I4" s="88"/>
      <c r="J4" s="88"/>
      <c r="K4" s="89"/>
      <c r="L4" s="90">
        <v>46233</v>
      </c>
      <c r="M4" s="90">
        <v>46233</v>
      </c>
      <c r="N4" s="92">
        <v>20</v>
      </c>
      <c r="O4" s="92"/>
      <c r="P4" s="93">
        <v>1</v>
      </c>
      <c r="Q4" s="126" t="str">
        <f t="shared" ref="Q4:Q23" si="0">IFERROR(INDEX(X$28:X$34,MATCH(O4,W$28:W$34,0)),"")</f>
        <v/>
      </c>
      <c r="R4" s="127" t="str">
        <f>IFERROR((1*Q:Q),"")</f>
        <v/>
      </c>
      <c r="S4" s="94" t="s">
        <v>114</v>
      </c>
      <c r="T4" s="95"/>
      <c r="AE4" s="101"/>
      <c r="AF4" s="101"/>
      <c r="AG4" s="101"/>
    </row>
    <row r="5" spans="1:33" ht="15" customHeight="1">
      <c r="A5" s="100"/>
      <c r="B5" s="82"/>
      <c r="C5" s="83"/>
      <c r="D5" s="83"/>
      <c r="E5" s="84" t="s">
        <v>121</v>
      </c>
      <c r="F5" s="85" t="s">
        <v>122</v>
      </c>
      <c r="G5" s="86"/>
      <c r="H5" s="87"/>
      <c r="I5" s="88"/>
      <c r="J5" s="88"/>
      <c r="K5" s="89"/>
      <c r="L5" s="90">
        <v>46233</v>
      </c>
      <c r="M5" s="90">
        <v>46233</v>
      </c>
      <c r="N5" s="92">
        <v>22</v>
      </c>
      <c r="O5" s="92"/>
      <c r="P5" s="93">
        <v>1</v>
      </c>
      <c r="Q5" s="126" t="str">
        <f t="shared" si="0"/>
        <v/>
      </c>
      <c r="R5" s="127" t="str">
        <f>IFERROR((1*Q:Q),"")</f>
        <v/>
      </c>
      <c r="S5" s="94" t="s">
        <v>114</v>
      </c>
      <c r="T5" s="95"/>
      <c r="AE5" s="101"/>
      <c r="AF5" s="101"/>
      <c r="AG5" s="101"/>
    </row>
    <row r="6" spans="1:33" ht="15" customHeight="1">
      <c r="A6" s="100"/>
      <c r="B6" s="82"/>
      <c r="C6" s="83"/>
      <c r="D6" s="83"/>
      <c r="E6" s="84" t="s">
        <v>124</v>
      </c>
      <c r="F6" s="85" t="s">
        <v>123</v>
      </c>
      <c r="G6" s="86"/>
      <c r="H6" s="87"/>
      <c r="I6" s="88"/>
      <c r="J6" s="88"/>
      <c r="K6" s="89"/>
      <c r="L6" s="90">
        <v>46233</v>
      </c>
      <c r="M6" s="90">
        <v>46233</v>
      </c>
      <c r="N6" s="92">
        <v>23</v>
      </c>
      <c r="O6" s="92"/>
      <c r="P6" s="93">
        <v>1</v>
      </c>
      <c r="Q6" s="126"/>
      <c r="R6" s="127"/>
      <c r="S6" s="94" t="s">
        <v>114</v>
      </c>
      <c r="T6" s="95"/>
      <c r="AE6" s="101"/>
      <c r="AF6" s="101"/>
      <c r="AG6" s="101"/>
    </row>
    <row r="7" spans="1:33" ht="15" customHeight="1">
      <c r="A7" s="100"/>
      <c r="B7" s="82"/>
      <c r="C7" s="83"/>
      <c r="D7" s="83"/>
      <c r="E7" s="84" t="s">
        <v>125</v>
      </c>
      <c r="F7" s="85" t="s">
        <v>123</v>
      </c>
      <c r="G7" s="86"/>
      <c r="H7" s="87"/>
      <c r="I7" s="88"/>
      <c r="J7" s="88"/>
      <c r="K7" s="89"/>
      <c r="L7" s="90">
        <v>46233</v>
      </c>
      <c r="M7" s="90">
        <v>46233</v>
      </c>
      <c r="N7" s="92">
        <v>24</v>
      </c>
      <c r="O7" s="92"/>
      <c r="P7" s="93">
        <v>1</v>
      </c>
      <c r="Q7" s="126"/>
      <c r="R7" s="127"/>
      <c r="S7" s="94" t="s">
        <v>114</v>
      </c>
      <c r="T7" s="95"/>
      <c r="AE7" s="101"/>
      <c r="AF7" s="101"/>
      <c r="AG7" s="101"/>
    </row>
    <row r="8" spans="1:33" ht="15" customHeight="1">
      <c r="A8" s="100"/>
      <c r="B8" s="82"/>
      <c r="C8" s="83"/>
      <c r="D8" s="83"/>
      <c r="E8" s="84" t="s">
        <v>126</v>
      </c>
      <c r="F8" s="85" t="s">
        <v>127</v>
      </c>
      <c r="G8" s="86"/>
      <c r="H8" s="87"/>
      <c r="I8" s="88"/>
      <c r="J8" s="88"/>
      <c r="K8" s="89"/>
      <c r="L8" s="90">
        <v>46233</v>
      </c>
      <c r="M8" s="90">
        <v>46233</v>
      </c>
      <c r="N8" s="92">
        <v>26</v>
      </c>
      <c r="O8" s="92"/>
      <c r="P8" s="93">
        <v>1</v>
      </c>
      <c r="Q8" s="126"/>
      <c r="R8" s="127"/>
      <c r="S8" s="94" t="s">
        <v>114</v>
      </c>
      <c r="T8" s="95"/>
      <c r="AE8" s="101"/>
      <c r="AF8" s="101"/>
      <c r="AG8" s="101"/>
    </row>
    <row r="9" spans="1:33" ht="15" customHeight="1">
      <c r="A9" s="100"/>
      <c r="B9" s="82"/>
      <c r="C9" s="83"/>
      <c r="D9" s="83"/>
      <c r="E9" s="84" t="s">
        <v>128</v>
      </c>
      <c r="F9" s="85" t="s">
        <v>129</v>
      </c>
      <c r="G9" s="86"/>
      <c r="H9" s="87"/>
      <c r="I9" s="88"/>
      <c r="J9" s="88"/>
      <c r="K9" s="89"/>
      <c r="L9" s="90">
        <v>46233</v>
      </c>
      <c r="M9" s="90">
        <v>46233</v>
      </c>
      <c r="N9" s="92">
        <v>22</v>
      </c>
      <c r="O9" s="92"/>
      <c r="P9" s="93">
        <v>1</v>
      </c>
      <c r="Q9" s="126"/>
      <c r="R9" s="127"/>
      <c r="S9" s="94" t="s">
        <v>114</v>
      </c>
      <c r="T9" s="95"/>
      <c r="AE9" s="101"/>
      <c r="AF9" s="101"/>
      <c r="AG9" s="101"/>
    </row>
    <row r="10" spans="1:33" ht="15" customHeight="1">
      <c r="A10" s="100"/>
      <c r="B10" s="82"/>
      <c r="C10" s="83"/>
      <c r="D10" s="83"/>
      <c r="E10" s="84" t="s">
        <v>130</v>
      </c>
      <c r="F10" s="85" t="s">
        <v>131</v>
      </c>
      <c r="G10" s="86"/>
      <c r="H10" s="87"/>
      <c r="I10" s="88"/>
      <c r="J10" s="88"/>
      <c r="K10" s="89"/>
      <c r="L10" s="90">
        <v>46233</v>
      </c>
      <c r="M10" s="90">
        <v>46234</v>
      </c>
      <c r="N10" s="92">
        <v>36</v>
      </c>
      <c r="O10" s="92"/>
      <c r="P10" s="93">
        <v>1</v>
      </c>
      <c r="Q10" s="126"/>
      <c r="R10" s="127"/>
      <c r="S10" s="94" t="s">
        <v>114</v>
      </c>
      <c r="T10" s="95"/>
      <c r="AE10" s="101"/>
      <c r="AF10" s="101"/>
      <c r="AG10" s="101"/>
    </row>
    <row r="11" spans="1:33" ht="15" customHeight="1">
      <c r="A11" s="100"/>
      <c r="B11" s="82"/>
      <c r="C11" s="83"/>
      <c r="D11" s="83"/>
      <c r="E11" s="84" t="s">
        <v>132</v>
      </c>
      <c r="F11" s="85" t="s">
        <v>133</v>
      </c>
      <c r="G11" s="86"/>
      <c r="H11" s="87"/>
      <c r="I11" s="88"/>
      <c r="J11" s="88"/>
      <c r="K11" s="89"/>
      <c r="L11" s="90">
        <v>46233</v>
      </c>
      <c r="M11" s="90">
        <v>46237</v>
      </c>
      <c r="N11" s="92">
        <v>20</v>
      </c>
      <c r="O11" s="92"/>
      <c r="P11" s="93">
        <v>1</v>
      </c>
      <c r="Q11" s="126"/>
      <c r="R11" s="127"/>
      <c r="S11" s="94" t="s">
        <v>114</v>
      </c>
      <c r="T11" s="95"/>
      <c r="AE11" s="101"/>
      <c r="AF11" s="101"/>
      <c r="AG11" s="101"/>
    </row>
    <row r="12" spans="1:33" ht="15" customHeight="1">
      <c r="A12" s="100"/>
      <c r="B12" s="82"/>
      <c r="C12" s="83"/>
      <c r="D12" s="83"/>
      <c r="E12" s="84" t="s">
        <v>134</v>
      </c>
      <c r="F12" s="85" t="s">
        <v>115</v>
      </c>
      <c r="G12" s="86"/>
      <c r="H12" s="87"/>
      <c r="I12" s="88"/>
      <c r="J12" s="88"/>
      <c r="K12" s="89"/>
      <c r="L12" s="90">
        <v>46237</v>
      </c>
      <c r="M12" s="90">
        <v>46237</v>
      </c>
      <c r="N12" s="92">
        <v>21</v>
      </c>
      <c r="O12" s="92"/>
      <c r="P12" s="93">
        <v>1</v>
      </c>
      <c r="Q12" s="126"/>
      <c r="R12" s="127"/>
      <c r="S12" s="94" t="s">
        <v>114</v>
      </c>
      <c r="T12" s="95"/>
      <c r="AE12" s="101"/>
      <c r="AF12" s="101"/>
      <c r="AG12" s="101"/>
    </row>
    <row r="13" spans="1:33" ht="15" customHeight="1">
      <c r="A13" s="100"/>
      <c r="B13" s="82"/>
      <c r="C13" s="83"/>
      <c r="D13" s="83"/>
      <c r="E13" s="84" t="s">
        <v>135</v>
      </c>
      <c r="F13" s="85" t="s">
        <v>116</v>
      </c>
      <c r="G13" s="86"/>
      <c r="H13" s="87"/>
      <c r="I13" s="88"/>
      <c r="J13" s="88"/>
      <c r="K13" s="89"/>
      <c r="L13" s="90">
        <v>46237</v>
      </c>
      <c r="M13" s="90">
        <v>46237</v>
      </c>
      <c r="N13" s="92">
        <v>15</v>
      </c>
      <c r="O13" s="92"/>
      <c r="P13" s="93">
        <v>1</v>
      </c>
      <c r="Q13" s="126"/>
      <c r="R13" s="127"/>
      <c r="S13" s="94" t="s">
        <v>114</v>
      </c>
      <c r="T13" s="95"/>
      <c r="AE13" s="101"/>
      <c r="AF13" s="101"/>
      <c r="AG13" s="101"/>
    </row>
    <row r="14" spans="1:33" ht="15" customHeight="1">
      <c r="A14" s="100"/>
      <c r="B14" s="82"/>
      <c r="C14" s="83"/>
      <c r="D14" s="83"/>
      <c r="E14" s="84" t="s">
        <v>136</v>
      </c>
      <c r="F14" s="85" t="s">
        <v>143</v>
      </c>
      <c r="G14" s="86"/>
      <c r="H14" s="87"/>
      <c r="I14" s="88"/>
      <c r="J14" s="88"/>
      <c r="K14" s="89"/>
      <c r="L14" s="90">
        <v>46237</v>
      </c>
      <c r="M14" s="90">
        <v>46237</v>
      </c>
      <c r="N14" s="92">
        <v>15</v>
      </c>
      <c r="O14" s="92"/>
      <c r="P14" s="93">
        <v>1</v>
      </c>
      <c r="Q14" s="126"/>
      <c r="R14" s="127"/>
      <c r="S14" s="94" t="s">
        <v>114</v>
      </c>
      <c r="T14" s="95"/>
      <c r="AE14" s="101"/>
      <c r="AF14" s="101"/>
      <c r="AG14" s="101"/>
    </row>
    <row r="15" spans="1:33" ht="15" customHeight="1">
      <c r="A15" s="100"/>
      <c r="B15" s="82"/>
      <c r="C15" s="83"/>
      <c r="D15" s="83"/>
      <c r="E15" s="84" t="s">
        <v>137</v>
      </c>
      <c r="F15" s="85" t="s">
        <v>144</v>
      </c>
      <c r="G15" s="86"/>
      <c r="H15" s="87"/>
      <c r="I15" s="88"/>
      <c r="J15" s="88"/>
      <c r="K15" s="89"/>
      <c r="L15" s="90">
        <v>46237</v>
      </c>
      <c r="M15" s="90">
        <v>46237</v>
      </c>
      <c r="N15" s="92">
        <v>19</v>
      </c>
      <c r="O15" s="92"/>
      <c r="P15" s="93">
        <v>1</v>
      </c>
      <c r="Q15" s="126"/>
      <c r="R15" s="127"/>
      <c r="S15" s="94" t="s">
        <v>114</v>
      </c>
      <c r="T15" s="95"/>
      <c r="AE15" s="101"/>
      <c r="AF15" s="101"/>
      <c r="AG15" s="101"/>
    </row>
    <row r="16" spans="1:33" ht="15" customHeight="1">
      <c r="A16" s="100"/>
      <c r="B16" s="82"/>
      <c r="C16" s="83"/>
      <c r="D16" s="83"/>
      <c r="E16" s="84" t="s">
        <v>138</v>
      </c>
      <c r="F16" s="85" t="s">
        <v>116</v>
      </c>
      <c r="G16" s="86"/>
      <c r="H16" s="87"/>
      <c r="I16" s="88"/>
      <c r="J16" s="88"/>
      <c r="K16" s="89"/>
      <c r="L16" s="90">
        <v>46237</v>
      </c>
      <c r="M16" s="90">
        <v>46237</v>
      </c>
      <c r="N16" s="92">
        <v>13</v>
      </c>
      <c r="O16" s="92"/>
      <c r="P16" s="93">
        <v>1</v>
      </c>
      <c r="Q16" s="126"/>
      <c r="R16" s="127"/>
      <c r="S16" s="94" t="s">
        <v>114</v>
      </c>
      <c r="T16" s="95"/>
      <c r="AE16" s="101"/>
      <c r="AF16" s="101"/>
      <c r="AG16" s="101"/>
    </row>
    <row r="17" spans="1:33" ht="15" customHeight="1">
      <c r="A17" s="100"/>
      <c r="B17" s="82"/>
      <c r="C17" s="83"/>
      <c r="D17" s="83"/>
      <c r="E17" s="84" t="s">
        <v>139</v>
      </c>
      <c r="F17" s="85" t="s">
        <v>115</v>
      </c>
      <c r="G17" s="86"/>
      <c r="H17" s="87"/>
      <c r="I17" s="88"/>
      <c r="J17" s="88"/>
      <c r="K17" s="89"/>
      <c r="L17" s="90">
        <v>46237</v>
      </c>
      <c r="M17" s="90">
        <v>46237</v>
      </c>
      <c r="N17" s="92">
        <v>14</v>
      </c>
      <c r="O17" s="92"/>
      <c r="P17" s="93">
        <v>1</v>
      </c>
      <c r="Q17" s="126"/>
      <c r="R17" s="127"/>
      <c r="S17" s="94" t="s">
        <v>114</v>
      </c>
      <c r="T17" s="95"/>
      <c r="AE17" s="101"/>
      <c r="AF17" s="101"/>
      <c r="AG17" s="101"/>
    </row>
    <row r="18" spans="1:33" ht="15" customHeight="1">
      <c r="A18" s="100"/>
      <c r="B18" s="82"/>
      <c r="C18" s="83"/>
      <c r="D18" s="83"/>
      <c r="E18" s="84" t="s">
        <v>140</v>
      </c>
      <c r="F18" s="85" t="s">
        <v>115</v>
      </c>
      <c r="G18" s="86"/>
      <c r="H18" s="87"/>
      <c r="I18" s="88"/>
      <c r="J18" s="88"/>
      <c r="K18" s="89"/>
      <c r="L18" s="90">
        <v>46237</v>
      </c>
      <c r="M18" s="90">
        <v>46237</v>
      </c>
      <c r="N18" s="92">
        <v>16</v>
      </c>
      <c r="O18" s="92"/>
      <c r="P18" s="93">
        <v>1</v>
      </c>
      <c r="Q18" s="126" t="str">
        <f t="shared" si="0"/>
        <v/>
      </c>
      <c r="R18" s="127" t="str">
        <f>IFERROR((1*Q:Q),"")</f>
        <v/>
      </c>
      <c r="S18" s="94" t="s">
        <v>114</v>
      </c>
      <c r="T18" s="95"/>
      <c r="AE18" s="101"/>
      <c r="AF18" s="101"/>
      <c r="AG18" s="101"/>
    </row>
    <row r="19" spans="1:33" ht="15" customHeight="1">
      <c r="A19" s="100"/>
      <c r="B19" s="82"/>
      <c r="C19" s="83"/>
      <c r="D19" s="83"/>
      <c r="E19" s="84" t="s">
        <v>141</v>
      </c>
      <c r="F19" s="85" t="s">
        <v>118</v>
      </c>
      <c r="G19" s="86"/>
      <c r="H19" s="87"/>
      <c r="I19" s="88"/>
      <c r="J19" s="88"/>
      <c r="K19" s="89"/>
      <c r="L19" s="90">
        <v>46237</v>
      </c>
      <c r="M19" s="90">
        <v>46237</v>
      </c>
      <c r="N19" s="92">
        <v>51</v>
      </c>
      <c r="O19" s="92"/>
      <c r="P19" s="93">
        <v>1</v>
      </c>
      <c r="Q19" s="126" t="str">
        <f t="shared" si="0"/>
        <v/>
      </c>
      <c r="R19" s="127" t="str">
        <f>IFERROR((1*Q:Q),"")</f>
        <v/>
      </c>
      <c r="S19" s="94" t="s">
        <v>114</v>
      </c>
      <c r="T19" s="95"/>
      <c r="AE19" s="101"/>
      <c r="AF19" s="101"/>
      <c r="AG19" s="101"/>
    </row>
    <row r="20" spans="1:33" ht="15" customHeight="1">
      <c r="A20" s="100"/>
      <c r="B20" s="82"/>
      <c r="C20" s="83"/>
      <c r="D20" s="83"/>
      <c r="E20" s="84"/>
      <c r="F20" s="85"/>
      <c r="G20" s="86"/>
      <c r="H20" s="87"/>
      <c r="I20" s="88">
        <f t="shared" ref="I20:I23" si="1">H20*G20</f>
        <v>0</v>
      </c>
      <c r="J20" s="88"/>
      <c r="K20" s="89">
        <f t="shared" ref="K20:K23" si="2">J20*G20</f>
        <v>0</v>
      </c>
      <c r="L20" s="90"/>
      <c r="M20" s="90"/>
      <c r="N20" s="92"/>
      <c r="O20" s="92"/>
      <c r="P20" s="93"/>
      <c r="Q20" s="126" t="str">
        <f t="shared" si="0"/>
        <v/>
      </c>
      <c r="R20" s="127" t="str">
        <f>IFERROR((1*Q:Q),"")</f>
        <v/>
      </c>
      <c r="S20" s="94"/>
      <c r="T20" s="95"/>
    </row>
    <row r="21" spans="1:33" ht="15" customHeight="1">
      <c r="A21" s="100"/>
      <c r="B21" s="82"/>
      <c r="C21" s="83"/>
      <c r="D21" s="83"/>
      <c r="E21" s="84"/>
      <c r="F21" s="135"/>
      <c r="G21" s="86"/>
      <c r="H21" s="87"/>
      <c r="I21" s="88"/>
      <c r="J21" s="88"/>
      <c r="K21" s="89"/>
      <c r="L21" s="90"/>
      <c r="M21" s="90"/>
      <c r="N21" s="92"/>
      <c r="O21" s="92"/>
      <c r="P21" s="93"/>
      <c r="Q21" s="126"/>
      <c r="R21" s="127"/>
      <c r="S21" s="94"/>
      <c r="T21" s="95"/>
    </row>
    <row r="22" spans="1:33" ht="15" customHeight="1">
      <c r="A22" s="100"/>
      <c r="B22" s="82"/>
      <c r="C22" s="83"/>
      <c r="D22" s="83"/>
      <c r="E22" s="84"/>
      <c r="F22"/>
      <c r="G22" s="86"/>
      <c r="H22" s="87"/>
      <c r="I22" s="88">
        <f t="shared" si="1"/>
        <v>0</v>
      </c>
      <c r="J22" s="88"/>
      <c r="K22" s="89">
        <f t="shared" si="2"/>
        <v>0</v>
      </c>
      <c r="L22" s="90"/>
      <c r="M22" s="90"/>
      <c r="N22" s="92"/>
      <c r="O22" s="92"/>
      <c r="P22" s="98"/>
      <c r="Q22" s="126" t="str">
        <f t="shared" si="0"/>
        <v/>
      </c>
      <c r="R22" s="127" t="str">
        <f>IFERROR((1*Q:Q),"")</f>
        <v/>
      </c>
      <c r="S22" s="94"/>
      <c r="T22" s="95"/>
    </row>
    <row r="23" spans="1:33" ht="15" customHeight="1">
      <c r="A23" s="100"/>
      <c r="B23" s="82"/>
      <c r="C23" s="83"/>
      <c r="D23" s="83"/>
      <c r="E23" s="84"/>
      <c r="F23"/>
      <c r="G23" s="86"/>
      <c r="H23" s="87"/>
      <c r="I23" s="88">
        <f t="shared" si="1"/>
        <v>0</v>
      </c>
      <c r="J23" s="88"/>
      <c r="K23" s="89">
        <f t="shared" si="2"/>
        <v>0</v>
      </c>
      <c r="L23" s="90"/>
      <c r="M23" s="91"/>
      <c r="N23" s="92"/>
      <c r="O23" s="92"/>
      <c r="P23" s="98"/>
      <c r="Q23" s="126" t="str">
        <f t="shared" si="0"/>
        <v/>
      </c>
      <c r="R23" s="127" t="str">
        <f>IFERROR((1*Q:Q),"")</f>
        <v/>
      </c>
      <c r="S23" s="94"/>
      <c r="T23" s="95"/>
    </row>
    <row r="24" spans="1:33" ht="15" customHeight="1" thickBot="1">
      <c r="B24" s="102"/>
      <c r="C24" s="103"/>
      <c r="D24" s="103"/>
      <c r="E24" s="104"/>
      <c r="F24" s="105"/>
      <c r="G24" s="106"/>
      <c r="H24" s="107"/>
      <c r="I24" s="108"/>
      <c r="J24" s="108"/>
      <c r="K24" s="109"/>
      <c r="L24" s="110"/>
      <c r="M24" s="111"/>
      <c r="N24" s="112"/>
      <c r="O24" s="112"/>
      <c r="P24" s="113"/>
      <c r="Q24" s="128"/>
      <c r="R24" s="131"/>
      <c r="S24" s="114"/>
      <c r="T24" s="115"/>
    </row>
    <row r="26" spans="1:33" ht="15" customHeight="1">
      <c r="S26" s="119"/>
    </row>
    <row r="27" spans="1:33" ht="15" customHeight="1">
      <c r="V27" s="96" t="s">
        <v>111</v>
      </c>
      <c r="W27" s="96"/>
      <c r="X27" s="97"/>
    </row>
    <row r="28" spans="1:33" ht="15" customHeight="1">
      <c r="V28" s="96">
        <v>1</v>
      </c>
      <c r="W28" s="96" t="s">
        <v>30</v>
      </c>
      <c r="X28" s="133">
        <v>160</v>
      </c>
    </row>
    <row r="29" spans="1:33" ht="15" customHeight="1">
      <c r="V29" s="96">
        <v>6</v>
      </c>
      <c r="W29" s="96" t="s">
        <v>31</v>
      </c>
      <c r="X29" s="133">
        <v>270</v>
      </c>
    </row>
    <row r="30" spans="1:33" ht="15" customHeight="1">
      <c r="V30" s="96">
        <v>16</v>
      </c>
      <c r="W30" s="96" t="s">
        <v>32</v>
      </c>
      <c r="X30" s="133">
        <v>460</v>
      </c>
    </row>
    <row r="31" spans="1:33" ht="15" customHeight="1">
      <c r="V31" s="96">
        <v>31</v>
      </c>
      <c r="W31" s="96" t="s">
        <v>33</v>
      </c>
      <c r="X31" s="133">
        <v>840</v>
      </c>
    </row>
    <row r="32" spans="1:33" ht="15" customHeight="1">
      <c r="V32" s="96">
        <v>61</v>
      </c>
      <c r="W32" s="96" t="s">
        <v>34</v>
      </c>
      <c r="X32" s="133">
        <v>1290</v>
      </c>
    </row>
    <row r="33" spans="22:24" ht="15" customHeight="1">
      <c r="V33" s="96">
        <v>121</v>
      </c>
      <c r="W33" s="96" t="s">
        <v>35</v>
      </c>
      <c r="X33" s="133">
        <v>2090</v>
      </c>
    </row>
    <row r="34" spans="22:24" ht="15" customHeight="1">
      <c r="V34" s="96">
        <v>241</v>
      </c>
      <c r="W34" s="96" t="s">
        <v>36</v>
      </c>
      <c r="X34" s="133">
        <v>4180</v>
      </c>
    </row>
    <row r="35" spans="22:24" ht="15" customHeight="1">
      <c r="V35" s="96"/>
      <c r="W35" s="96"/>
      <c r="X35" s="133"/>
    </row>
    <row r="36" spans="22:24" ht="15" customHeight="1">
      <c r="V36" s="96" t="s">
        <v>112</v>
      </c>
      <c r="W36" s="96"/>
      <c r="X36" s="133"/>
    </row>
    <row r="37" spans="22:24" ht="15" customHeight="1">
      <c r="V37" s="96">
        <v>1</v>
      </c>
      <c r="W37" s="99" t="s">
        <v>30</v>
      </c>
      <c r="X37" s="133">
        <v>1290</v>
      </c>
    </row>
    <row r="38" spans="22:24" ht="15" customHeight="1">
      <c r="V38" s="96">
        <v>121</v>
      </c>
      <c r="W38" s="99" t="s">
        <v>31</v>
      </c>
      <c r="X38" s="133">
        <v>2090</v>
      </c>
    </row>
    <row r="39" spans="22:24" ht="15" customHeight="1">
      <c r="V39" s="96">
        <v>301</v>
      </c>
      <c r="W39" s="99" t="s">
        <v>32</v>
      </c>
      <c r="X39" s="133">
        <v>4180</v>
      </c>
    </row>
    <row r="40" spans="22:24" ht="15" customHeight="1">
      <c r="V40" s="96">
        <v>481</v>
      </c>
      <c r="W40" s="99" t="s">
        <v>33</v>
      </c>
      <c r="X40" s="133">
        <v>8350</v>
      </c>
    </row>
    <row r="41" spans="22:24" ht="15" customHeight="1">
      <c r="V41" s="96">
        <v>961</v>
      </c>
      <c r="W41" s="99" t="s">
        <v>34</v>
      </c>
      <c r="X41" s="133">
        <v>12330</v>
      </c>
    </row>
    <row r="42" spans="22:24" ht="15" customHeight="1">
      <c r="V42" s="96">
        <v>1441</v>
      </c>
      <c r="W42" s="66" t="s">
        <v>93</v>
      </c>
      <c r="X42" s="133">
        <v>20110</v>
      </c>
    </row>
  </sheetData>
  <sortState ref="A3:AG30">
    <sortCondition ref="D3:D30"/>
  </sortState>
  <mergeCells count="18">
    <mergeCell ref="K1:K2"/>
    <mergeCell ref="N1:N2"/>
    <mergeCell ref="L1:M1"/>
    <mergeCell ref="T1:T2"/>
    <mergeCell ref="S1:S2"/>
    <mergeCell ref="O1:O2"/>
    <mergeCell ref="P1:P2"/>
    <mergeCell ref="Q1:Q2"/>
    <mergeCell ref="R1:R2"/>
    <mergeCell ref="J1:J2"/>
    <mergeCell ref="C1:C2"/>
    <mergeCell ref="F1:F2"/>
    <mergeCell ref="G1:G2"/>
    <mergeCell ref="B1:B2"/>
    <mergeCell ref="D1:D2"/>
    <mergeCell ref="E1:E2"/>
    <mergeCell ref="H1:H2"/>
    <mergeCell ref="I1:I2"/>
  </mergeCells>
  <phoneticPr fontId="2"/>
  <conditionalFormatting sqref="E4:E23">
    <cfRule type="duplicateValues" dxfId="3" priority="58"/>
  </conditionalFormatting>
  <conditionalFormatting sqref="E20:E21">
    <cfRule type="duplicateValues" dxfId="2" priority="57"/>
  </conditionalFormatting>
  <conditionalFormatting sqref="E22:E23">
    <cfRule type="duplicateValues" dxfId="1" priority="5"/>
  </conditionalFormatting>
  <conditionalFormatting sqref="E24">
    <cfRule type="duplicateValues" dxfId="0" priority="55"/>
  </conditionalFormatting>
  <pageMargins left="0.25" right="0.2" top="0.25" bottom="0.75" header="0.3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="115" zoomScaleNormal="115" workbookViewId="0">
      <selection activeCell="M21" sqref="M21"/>
    </sheetView>
  </sheetViews>
  <sheetFormatPr defaultRowHeight="13.5"/>
  <cols>
    <col min="1" max="1" width="6.125" customWidth="1"/>
    <col min="2" max="2" width="8.25" customWidth="1"/>
    <col min="3" max="3" width="10.375" customWidth="1"/>
    <col min="4" max="4" width="23.625" bestFit="1" customWidth="1"/>
    <col min="5" max="5" width="8.625" bestFit="1" customWidth="1"/>
    <col min="7" max="7" width="6.125" customWidth="1"/>
    <col min="8" max="8" width="8.25" customWidth="1"/>
    <col min="9" max="9" width="9.25" customWidth="1"/>
    <col min="10" max="10" width="20.625" customWidth="1"/>
  </cols>
  <sheetData>
    <row r="1" spans="1:12">
      <c r="A1" s="45" t="s">
        <v>25</v>
      </c>
      <c r="B1" s="46"/>
      <c r="C1" s="46"/>
      <c r="D1" s="46"/>
      <c r="E1" s="46"/>
      <c r="F1" s="46"/>
      <c r="G1" s="47"/>
      <c r="H1" s="47"/>
      <c r="I1" s="47"/>
      <c r="J1" s="47"/>
      <c r="K1" s="46"/>
      <c r="L1" s="47"/>
    </row>
    <row r="2" spans="1:12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>
      <c r="A3" s="48" t="s">
        <v>27</v>
      </c>
      <c r="B3" s="46"/>
      <c r="C3" s="46"/>
      <c r="D3" s="46"/>
      <c r="E3" s="46"/>
      <c r="F3" s="46"/>
      <c r="G3" s="47"/>
      <c r="H3" s="47"/>
      <c r="I3" s="47"/>
      <c r="J3" s="47"/>
      <c r="K3" s="46"/>
      <c r="L3" s="47"/>
    </row>
    <row r="4" spans="1:12">
      <c r="A4" s="49" t="s">
        <v>28</v>
      </c>
      <c r="B4" s="46"/>
      <c r="C4" s="46"/>
      <c r="D4" s="46"/>
      <c r="E4" s="46"/>
      <c r="F4" s="46"/>
      <c r="G4" s="47"/>
      <c r="H4" s="47"/>
      <c r="I4" s="47"/>
      <c r="J4" s="47"/>
      <c r="K4" s="46"/>
      <c r="L4" s="47"/>
    </row>
    <row r="5" spans="1:12">
      <c r="A5" s="50"/>
      <c r="B5" s="51" t="s">
        <v>26</v>
      </c>
      <c r="C5" s="51" t="s">
        <v>110</v>
      </c>
      <c r="D5" s="51" t="s">
        <v>29</v>
      </c>
      <c r="E5" s="46"/>
      <c r="F5" s="46"/>
      <c r="G5" s="47"/>
      <c r="H5" s="47"/>
      <c r="I5" s="47"/>
      <c r="J5" s="47"/>
      <c r="K5" s="46"/>
      <c r="L5" s="47"/>
    </row>
    <row r="6" spans="1:12">
      <c r="A6" s="52">
        <v>1</v>
      </c>
      <c r="B6" s="53" t="s">
        <v>23</v>
      </c>
      <c r="C6" s="130">
        <v>4180</v>
      </c>
      <c r="D6" s="121" t="s">
        <v>95</v>
      </c>
      <c r="E6" s="46"/>
      <c r="F6" s="46"/>
      <c r="G6" s="47"/>
      <c r="H6" s="47"/>
      <c r="I6" s="47"/>
      <c r="J6" s="47"/>
      <c r="K6" s="46"/>
      <c r="L6" s="47"/>
    </row>
    <row r="7" spans="1:12">
      <c r="A7" s="52">
        <v>2</v>
      </c>
      <c r="B7" s="53" t="s">
        <v>24</v>
      </c>
      <c r="C7" s="130">
        <v>2090</v>
      </c>
      <c r="D7" s="121" t="s">
        <v>55</v>
      </c>
      <c r="E7" s="46"/>
      <c r="F7" s="46"/>
      <c r="G7" s="47"/>
      <c r="H7" s="47"/>
      <c r="I7" s="47"/>
      <c r="J7" s="47"/>
      <c r="K7" s="46"/>
      <c r="L7" s="47"/>
    </row>
    <row r="8" spans="1:12">
      <c r="A8" s="52">
        <v>3</v>
      </c>
      <c r="B8" s="53" t="s">
        <v>18</v>
      </c>
      <c r="C8" s="130">
        <v>1289.6200000000001</v>
      </c>
      <c r="D8" s="121" t="s">
        <v>96</v>
      </c>
      <c r="E8" s="46"/>
      <c r="F8" s="46"/>
      <c r="G8" s="47"/>
      <c r="H8" s="47"/>
      <c r="I8" s="47"/>
      <c r="J8" s="47"/>
      <c r="K8" s="46"/>
      <c r="L8" s="47"/>
    </row>
    <row r="9" spans="1:12">
      <c r="A9" s="52">
        <v>4</v>
      </c>
      <c r="B9" s="53" t="s">
        <v>22</v>
      </c>
      <c r="C9" s="130">
        <v>840</v>
      </c>
      <c r="D9" s="121" t="s">
        <v>97</v>
      </c>
      <c r="E9" s="46"/>
      <c r="F9" s="46"/>
      <c r="G9" s="47"/>
      <c r="H9" s="47"/>
      <c r="I9" s="47"/>
      <c r="J9" s="47"/>
      <c r="K9" s="46"/>
      <c r="L9" s="47"/>
    </row>
    <row r="10" spans="1:12">
      <c r="A10" s="52">
        <v>5</v>
      </c>
      <c r="B10" s="53" t="s">
        <v>21</v>
      </c>
      <c r="C10" s="130">
        <v>460</v>
      </c>
      <c r="D10" s="121" t="s">
        <v>98</v>
      </c>
      <c r="E10" s="46"/>
      <c r="F10" s="46"/>
      <c r="G10" s="47"/>
      <c r="H10" s="47"/>
      <c r="I10" s="47"/>
      <c r="J10" s="47"/>
      <c r="K10" s="46"/>
      <c r="L10" s="47"/>
    </row>
    <row r="11" spans="1:12">
      <c r="A11" s="52">
        <v>6</v>
      </c>
      <c r="B11" s="53" t="s">
        <v>20</v>
      </c>
      <c r="C11" s="130">
        <v>270</v>
      </c>
      <c r="D11" s="121" t="s">
        <v>99</v>
      </c>
      <c r="E11" s="46"/>
      <c r="F11" s="46"/>
      <c r="G11" s="47"/>
      <c r="H11" s="47"/>
      <c r="I11" s="47"/>
      <c r="J11" s="47"/>
      <c r="K11" s="46"/>
      <c r="L11" s="47"/>
    </row>
    <row r="12" spans="1:12">
      <c r="A12" s="52">
        <v>7</v>
      </c>
      <c r="B12" s="53" t="s">
        <v>19</v>
      </c>
      <c r="C12" s="130">
        <v>160</v>
      </c>
      <c r="D12" s="121" t="s">
        <v>100</v>
      </c>
      <c r="E12" s="46"/>
      <c r="F12" s="46"/>
      <c r="G12" s="47"/>
      <c r="H12" s="47"/>
      <c r="I12" s="47"/>
      <c r="J12" s="47"/>
      <c r="K12" s="46"/>
      <c r="L12" s="47"/>
    </row>
    <row r="13" spans="1:12">
      <c r="A13" s="47"/>
      <c r="B13" s="47"/>
      <c r="C13" s="47"/>
      <c r="D13" s="47"/>
      <c r="E13" s="46"/>
      <c r="F13" s="46"/>
      <c r="G13" s="47"/>
      <c r="H13" s="47"/>
      <c r="I13" s="47"/>
      <c r="J13" s="47"/>
      <c r="K13" s="47"/>
      <c r="L13" s="47"/>
    </row>
    <row r="14" spans="1:12">
      <c r="A14" s="49" t="s">
        <v>52</v>
      </c>
      <c r="B14" s="46"/>
      <c r="C14" s="46"/>
      <c r="D14" s="46"/>
      <c r="E14" s="46"/>
      <c r="F14" s="46"/>
      <c r="G14" s="47"/>
      <c r="H14" s="47"/>
      <c r="I14" s="47"/>
      <c r="J14" s="47"/>
      <c r="K14" s="46"/>
      <c r="L14" s="47"/>
    </row>
    <row r="15" spans="1:12">
      <c r="A15" s="50"/>
      <c r="B15" s="51" t="s">
        <v>26</v>
      </c>
      <c r="C15" s="51" t="s">
        <v>110</v>
      </c>
      <c r="D15" s="51" t="s">
        <v>29</v>
      </c>
      <c r="E15" s="46"/>
      <c r="F15" s="46"/>
      <c r="G15" s="47"/>
      <c r="H15" s="47"/>
      <c r="I15" s="47"/>
      <c r="J15" s="47"/>
      <c r="K15" s="46"/>
      <c r="L15" s="47"/>
    </row>
    <row r="16" spans="1:12">
      <c r="A16" s="52">
        <v>1</v>
      </c>
      <c r="B16" s="120" t="s">
        <v>102</v>
      </c>
      <c r="C16" s="130">
        <v>20110</v>
      </c>
      <c r="D16" s="122" t="s">
        <v>101</v>
      </c>
      <c r="E16" s="46"/>
      <c r="F16" s="46"/>
      <c r="G16" s="47"/>
      <c r="H16" s="47"/>
      <c r="I16" s="47"/>
      <c r="J16" s="47"/>
      <c r="K16" s="46"/>
      <c r="L16" s="47"/>
    </row>
    <row r="17" spans="1:12">
      <c r="A17" s="52">
        <v>2</v>
      </c>
      <c r="B17" s="53" t="s">
        <v>18</v>
      </c>
      <c r="C17" s="130">
        <v>12330</v>
      </c>
      <c r="D17" s="122" t="s">
        <v>56</v>
      </c>
      <c r="E17" s="46"/>
      <c r="F17" s="46"/>
      <c r="G17" s="47"/>
      <c r="H17" s="47"/>
      <c r="I17" s="47"/>
      <c r="J17" s="47"/>
      <c r="K17" s="46"/>
      <c r="L17" s="47"/>
    </row>
    <row r="18" spans="1:12">
      <c r="A18" s="52">
        <v>3</v>
      </c>
      <c r="B18" s="53" t="s">
        <v>22</v>
      </c>
      <c r="C18" s="130">
        <v>8350</v>
      </c>
      <c r="D18" s="122" t="s">
        <v>57</v>
      </c>
      <c r="E18" s="46"/>
      <c r="F18" s="46"/>
      <c r="G18" s="47"/>
      <c r="H18" s="47"/>
      <c r="I18" s="47"/>
      <c r="J18" s="47"/>
      <c r="K18" s="46"/>
      <c r="L18" s="47"/>
    </row>
    <row r="19" spans="1:12">
      <c r="A19" s="52">
        <v>4</v>
      </c>
      <c r="B19" s="53" t="s">
        <v>21</v>
      </c>
      <c r="C19" s="130">
        <v>4180</v>
      </c>
      <c r="D19" s="122" t="s">
        <v>54</v>
      </c>
      <c r="E19" s="46"/>
      <c r="F19" s="46"/>
      <c r="G19" s="47"/>
      <c r="H19" s="47"/>
      <c r="I19" s="47"/>
      <c r="J19" s="47"/>
      <c r="K19" s="46"/>
      <c r="L19" s="47"/>
    </row>
    <row r="20" spans="1:12">
      <c r="A20" s="52">
        <v>5</v>
      </c>
      <c r="B20" s="53" t="s">
        <v>20</v>
      </c>
      <c r="C20" s="130">
        <v>2090</v>
      </c>
      <c r="D20" s="121" t="s">
        <v>55</v>
      </c>
      <c r="E20" s="46"/>
      <c r="F20" s="46"/>
      <c r="G20" s="47"/>
      <c r="H20" s="47"/>
      <c r="I20" s="47"/>
      <c r="J20" s="47"/>
      <c r="K20" s="46"/>
      <c r="L20" s="47"/>
    </row>
    <row r="21" spans="1:12">
      <c r="A21" s="52">
        <v>6</v>
      </c>
      <c r="B21" s="53" t="s">
        <v>19</v>
      </c>
      <c r="C21" s="130">
        <v>1289.6200000000001</v>
      </c>
      <c r="D21" s="121" t="s">
        <v>96</v>
      </c>
      <c r="E21" s="46"/>
      <c r="F21" s="46"/>
      <c r="G21" s="47"/>
      <c r="H21" s="47"/>
      <c r="I21" s="47"/>
      <c r="J21" s="47"/>
      <c r="K21" s="47"/>
      <c r="L21" s="47"/>
    </row>
    <row r="22" spans="1:12">
      <c r="A22" s="47"/>
      <c r="B22" s="47"/>
      <c r="C22" s="47"/>
      <c r="D22" s="47"/>
      <c r="E22" s="46"/>
      <c r="F22" s="46"/>
      <c r="G22" s="47"/>
      <c r="H22" s="47"/>
      <c r="I22" s="47"/>
      <c r="J22" s="47"/>
      <c r="K22" s="47"/>
      <c r="L22" s="47"/>
    </row>
    <row r="23" spans="1:12">
      <c r="A23" s="55" t="s">
        <v>58</v>
      </c>
      <c r="B23" s="56"/>
      <c r="C23" s="56"/>
      <c r="D23" s="56"/>
      <c r="E23" s="46"/>
      <c r="F23" s="46"/>
      <c r="L23" s="47"/>
    </row>
    <row r="24" spans="1:12">
      <c r="A24" s="47"/>
      <c r="B24" s="47"/>
      <c r="C24" s="47"/>
      <c r="D24" s="47"/>
      <c r="E24" s="47"/>
      <c r="F24" s="124"/>
      <c r="L24" s="47"/>
    </row>
    <row r="25" spans="1:12">
      <c r="A25" s="57" t="s">
        <v>59</v>
      </c>
      <c r="B25" s="56"/>
      <c r="C25" s="56"/>
      <c r="D25" s="56"/>
      <c r="E25" s="47"/>
      <c r="F25" s="124"/>
      <c r="L25" s="47"/>
    </row>
    <row r="26" spans="1:12">
      <c r="A26" s="47"/>
      <c r="B26" s="47"/>
      <c r="C26" s="47"/>
      <c r="D26" s="47"/>
      <c r="E26" s="47"/>
      <c r="F26" s="124"/>
      <c r="L26" s="47"/>
    </row>
    <row r="27" spans="1:12">
      <c r="A27" s="57" t="s">
        <v>60</v>
      </c>
      <c r="B27" s="56"/>
      <c r="C27" s="56"/>
      <c r="D27" s="56"/>
      <c r="E27" s="47"/>
      <c r="F27" s="124"/>
      <c r="L27" s="47"/>
    </row>
    <row r="28" spans="1:12">
      <c r="A28" s="58" t="s">
        <v>61</v>
      </c>
      <c r="B28" s="56"/>
      <c r="C28" s="56"/>
      <c r="D28" s="56"/>
      <c r="E28" s="47"/>
      <c r="F28" s="124"/>
      <c r="L28" s="47"/>
    </row>
    <row r="29" spans="1:12">
      <c r="A29" s="61"/>
      <c r="B29" s="62" t="s">
        <v>26</v>
      </c>
      <c r="C29" s="62" t="s">
        <v>110</v>
      </c>
      <c r="D29" s="62" t="s">
        <v>29</v>
      </c>
      <c r="E29" s="60" t="s">
        <v>62</v>
      </c>
      <c r="F29" s="124"/>
      <c r="L29" s="47"/>
    </row>
    <row r="30" spans="1:12">
      <c r="A30" s="65">
        <v>1</v>
      </c>
      <c r="B30" s="64" t="s">
        <v>23</v>
      </c>
      <c r="C30" s="130">
        <v>8350</v>
      </c>
      <c r="D30" s="61" t="s">
        <v>103</v>
      </c>
      <c r="E30" s="168" t="s">
        <v>63</v>
      </c>
      <c r="F30" s="124"/>
      <c r="L30" s="47"/>
    </row>
    <row r="31" spans="1:12">
      <c r="A31" s="65">
        <v>2</v>
      </c>
      <c r="B31" s="64" t="s">
        <v>24</v>
      </c>
      <c r="C31" s="130">
        <v>4180</v>
      </c>
      <c r="D31" s="61" t="s">
        <v>104</v>
      </c>
      <c r="E31" s="168"/>
      <c r="F31" s="124"/>
      <c r="L31" s="47"/>
    </row>
    <row r="32" spans="1:12">
      <c r="A32" s="65">
        <v>3</v>
      </c>
      <c r="B32" s="64" t="s">
        <v>53</v>
      </c>
      <c r="C32" s="130">
        <v>2090</v>
      </c>
      <c r="D32" s="61" t="s">
        <v>105</v>
      </c>
      <c r="E32" s="168" t="s">
        <v>64</v>
      </c>
      <c r="F32" s="124"/>
      <c r="L32" s="47"/>
    </row>
    <row r="33" spans="1:12">
      <c r="A33" s="65">
        <v>4</v>
      </c>
      <c r="B33" s="64" t="s">
        <v>18</v>
      </c>
      <c r="C33" s="130">
        <v>1289.6200000000001</v>
      </c>
      <c r="D33" s="121" t="s">
        <v>96</v>
      </c>
      <c r="E33" s="168"/>
      <c r="F33" s="124"/>
      <c r="L33" s="47"/>
    </row>
    <row r="34" spans="1:12">
      <c r="A34" s="65">
        <v>5</v>
      </c>
      <c r="B34" s="64" t="s">
        <v>22</v>
      </c>
      <c r="C34" s="130">
        <v>840</v>
      </c>
      <c r="D34" s="121" t="s">
        <v>97</v>
      </c>
      <c r="E34" s="168"/>
      <c r="F34" s="124"/>
      <c r="L34" s="47"/>
    </row>
    <row r="35" spans="1:12">
      <c r="A35" s="65">
        <v>6</v>
      </c>
      <c r="B35" s="64" t="s">
        <v>21</v>
      </c>
      <c r="C35" s="130">
        <v>460</v>
      </c>
      <c r="D35" s="121" t="s">
        <v>98</v>
      </c>
      <c r="E35" s="168"/>
      <c r="F35" s="124"/>
      <c r="L35" s="47"/>
    </row>
    <row r="36" spans="1:12">
      <c r="A36" s="65">
        <v>7</v>
      </c>
      <c r="B36" s="64" t="s">
        <v>20</v>
      </c>
      <c r="C36" s="130">
        <v>270</v>
      </c>
      <c r="D36" s="121" t="s">
        <v>99</v>
      </c>
      <c r="E36" s="168"/>
      <c r="F36" s="124"/>
      <c r="L36" s="47"/>
    </row>
    <row r="37" spans="1:12">
      <c r="A37" s="65">
        <v>8</v>
      </c>
      <c r="B37" s="64" t="s">
        <v>19</v>
      </c>
      <c r="C37" s="130">
        <v>160</v>
      </c>
      <c r="D37" s="121" t="s">
        <v>100</v>
      </c>
      <c r="E37" s="168"/>
      <c r="F37" s="124"/>
      <c r="L37" s="47"/>
    </row>
    <row r="38" spans="1:12">
      <c r="A38" s="47"/>
      <c r="B38" s="47"/>
      <c r="C38" s="47"/>
      <c r="D38" s="47"/>
      <c r="E38" s="47"/>
      <c r="F38" s="124"/>
      <c r="L38" s="47"/>
    </row>
    <row r="39" spans="1:12">
      <c r="A39" s="47"/>
      <c r="B39" s="47"/>
      <c r="C39" s="47"/>
      <c r="D39" s="47"/>
      <c r="E39" s="47"/>
      <c r="F39" s="124"/>
      <c r="L39" s="47"/>
    </row>
    <row r="40" spans="1:12">
      <c r="A40" s="47"/>
      <c r="B40" s="47"/>
      <c r="C40" s="47"/>
      <c r="D40" s="47"/>
      <c r="E40" s="47"/>
      <c r="F40" s="124"/>
      <c r="L40" s="47"/>
    </row>
    <row r="41" spans="1:12">
      <c r="A41" s="58" t="s">
        <v>65</v>
      </c>
      <c r="B41" s="54"/>
      <c r="C41" s="47"/>
      <c r="D41" s="47"/>
      <c r="E41" s="47"/>
      <c r="F41" s="124"/>
      <c r="L41" s="47"/>
    </row>
    <row r="42" spans="1:12">
      <c r="A42" s="59"/>
      <c r="B42" s="60" t="s">
        <v>26</v>
      </c>
      <c r="C42" s="60" t="s">
        <v>110</v>
      </c>
      <c r="D42" s="60" t="s">
        <v>29</v>
      </c>
      <c r="E42" s="60" t="s">
        <v>62</v>
      </c>
      <c r="F42" s="124"/>
      <c r="L42" s="47"/>
    </row>
    <row r="43" spans="1:12">
      <c r="A43" s="59">
        <v>1</v>
      </c>
      <c r="B43" s="63" t="s">
        <v>23</v>
      </c>
      <c r="C43" s="130">
        <v>20110</v>
      </c>
      <c r="D43" s="122" t="s">
        <v>101</v>
      </c>
      <c r="E43" s="168" t="s">
        <v>63</v>
      </c>
      <c r="F43" s="124"/>
      <c r="L43" s="47"/>
    </row>
    <row r="44" spans="1:12">
      <c r="A44" s="59">
        <v>2</v>
      </c>
      <c r="B44" s="63" t="s">
        <v>24</v>
      </c>
      <c r="C44" s="130">
        <v>12330</v>
      </c>
      <c r="D44" s="122" t="s">
        <v>56</v>
      </c>
      <c r="E44" s="168"/>
      <c r="F44" s="124"/>
      <c r="L44" s="47"/>
    </row>
    <row r="45" spans="1:12">
      <c r="A45" s="59">
        <v>3</v>
      </c>
      <c r="B45" s="63" t="s">
        <v>53</v>
      </c>
      <c r="C45" s="130">
        <v>8350</v>
      </c>
      <c r="D45" s="122" t="s">
        <v>57</v>
      </c>
      <c r="E45" s="169" t="s">
        <v>64</v>
      </c>
      <c r="F45" s="124"/>
      <c r="L45" s="47"/>
    </row>
    <row r="46" spans="1:12">
      <c r="A46" s="59">
        <v>4</v>
      </c>
      <c r="B46" s="63" t="s">
        <v>66</v>
      </c>
      <c r="C46" s="130">
        <v>4180</v>
      </c>
      <c r="D46" s="122" t="s">
        <v>54</v>
      </c>
      <c r="E46" s="170"/>
      <c r="F46" s="124"/>
      <c r="L46" s="47"/>
    </row>
    <row r="47" spans="1:12">
      <c r="A47" s="59">
        <v>5</v>
      </c>
      <c r="B47" s="63" t="s">
        <v>67</v>
      </c>
      <c r="C47" s="130">
        <v>2090</v>
      </c>
      <c r="D47" s="122" t="s">
        <v>55</v>
      </c>
      <c r="E47" s="170"/>
      <c r="F47" s="124"/>
      <c r="L47" s="47"/>
    </row>
    <row r="48" spans="1:12">
      <c r="A48" s="59">
        <v>6</v>
      </c>
      <c r="B48" s="63" t="s">
        <v>68</v>
      </c>
      <c r="C48" s="130">
        <v>1289.6200000000001</v>
      </c>
      <c r="D48" s="123" t="s">
        <v>106</v>
      </c>
      <c r="E48" s="170"/>
      <c r="F48" s="124"/>
      <c r="L48" s="47"/>
    </row>
    <row r="49" spans="1:12">
      <c r="A49" s="59">
        <v>7</v>
      </c>
      <c r="B49" s="63" t="s">
        <v>69</v>
      </c>
      <c r="C49" s="130">
        <v>840</v>
      </c>
      <c r="D49" s="121" t="s">
        <v>107</v>
      </c>
      <c r="E49" s="170"/>
      <c r="F49" s="47"/>
      <c r="L49" s="47"/>
    </row>
    <row r="50" spans="1:12">
      <c r="A50" s="59">
        <v>8</v>
      </c>
      <c r="B50" s="63" t="s">
        <v>70</v>
      </c>
      <c r="C50" s="130">
        <v>460</v>
      </c>
      <c r="D50" s="121" t="s">
        <v>108</v>
      </c>
      <c r="E50" s="171"/>
      <c r="F50" s="47"/>
      <c r="L50" s="47"/>
    </row>
    <row r="51" spans="1:12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</row>
    <row r="52" spans="1:12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</row>
  </sheetData>
  <mergeCells count="4">
    <mergeCell ref="E30:E31"/>
    <mergeCell ref="E32:E37"/>
    <mergeCell ref="E43:E44"/>
    <mergeCell ref="E45:E50"/>
  </mergeCells>
  <phoneticPr fontId="27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見積り書</vt:lpstr>
      <vt:lpstr>明細</vt:lpstr>
      <vt:lpstr>Rank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Enduser</dc:creator>
  <cp:lastModifiedBy>Armadillo</cp:lastModifiedBy>
  <cp:lastPrinted>2021-11-04T00:16:39Z</cp:lastPrinted>
  <dcterms:created xsi:type="dcterms:W3CDTF">2014-11-06T08:51:53Z</dcterms:created>
  <dcterms:modified xsi:type="dcterms:W3CDTF">2026-08-03T10:02:47Z</dcterms:modified>
</cp:coreProperties>
</file>