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4DB3D609-845B-4703-8783-DDC9E7A74CC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Credit Ledger" sheetId="2" r:id="rId2"/>
    <sheet name="Usage &amp; Spend Tracker" sheetId="3" r:id="rId3"/>
    <sheet name="Daily Spend Dat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4" l="1"/>
  <c r="D6" i="2"/>
  <c r="F5" i="3"/>
  <c r="F6" i="3" s="1"/>
  <c r="C5" i="1"/>
  <c r="A5" i="1"/>
  <c r="D5" i="1" l="1"/>
</calcChain>
</file>

<file path=xl/sharedStrings.xml><?xml version="1.0" encoding="utf-8"?>
<sst xmlns="http://schemas.openxmlformats.org/spreadsheetml/2006/main" count="76" uniqueCount="72">
  <si>
    <t>Google AI Studio - API Spend &amp; Credit Monitor</t>
  </si>
  <si>
    <t>TOTAL DEPOSITED CREDITS</t>
  </si>
  <si>
    <t>TOTAL API SPEND</t>
  </si>
  <si>
    <t>REMAINING CREDIT BALANCE</t>
  </si>
  <si>
    <t>Billing Account Cost for Gemini API (Daily Spend)</t>
  </si>
  <si>
    <t>Project Environment Status</t>
  </si>
  <si>
    <t>Metric / Parameter</t>
  </si>
  <si>
    <t>Value / Config</t>
  </si>
  <si>
    <t>Quick Status / Notes</t>
  </si>
  <si>
    <t>Target Project Name</t>
  </si>
  <si>
    <t>AI 2D drawing checker</t>
  </si>
  <si>
    <t>Web &amp; Design Asset Verification Tools</t>
  </si>
  <si>
    <t>Associated API Key</t>
  </si>
  <si>
    <t>Gemini API Key 2 (...LBEQ)</t>
  </si>
  <si>
    <t>Created July 1, 2026</t>
  </si>
  <si>
    <t>Active Prepay Billing Plan</t>
  </si>
  <si>
    <t>My Billing Account 1 (Tier 1)</t>
  </si>
  <si>
    <t>Prepaid tier on Google Cloud Console</t>
  </si>
  <si>
    <t>Credit Auto-Reload Setting</t>
  </si>
  <si>
    <t>OFF</t>
  </si>
  <si>
    <t>No automatic card reloads configured</t>
  </si>
  <si>
    <t>Spend Cap Status</t>
  </si>
  <si>
    <t>No Cap Active ($3.05 spent)</t>
  </si>
  <si>
    <t>Highly recommended to set a $10 soft-cap in Google AI Studio</t>
  </si>
  <si>
    <t>Credit Purchase &amp; Deposit History</t>
  </si>
  <si>
    <t>Transaction ID</t>
  </si>
  <si>
    <t>Deposit Date</t>
  </si>
  <si>
    <t>Payment Method</t>
  </si>
  <si>
    <t>Amount Deposited ($)</t>
  </si>
  <si>
    <t>Notes</t>
  </si>
  <si>
    <t>TXN-1001</t>
  </si>
  <si>
    <t>2026-05-27</t>
  </si>
  <si>
    <t>Prepay (Simulated/Base)</t>
  </si>
  <si>
    <t>1st deposit (Vanished in console, fully spent in May/June)</t>
  </si>
  <si>
    <t>TXN-1002</t>
  </si>
  <si>
    <t>2026-07-01</t>
  </si>
  <si>
    <t>Prepay (Google Billing)</t>
  </si>
  <si>
    <t>2nd deposit (As shown in Gemini API Billing image)</t>
  </si>
  <si>
    <t>Total Deposited Credits:</t>
  </si>
  <si>
    <t>Monthly API Usage &amp; Cost Log</t>
  </si>
  <si>
    <t>Date / Period</t>
  </si>
  <si>
    <t>Billing Account</t>
  </si>
  <si>
    <t>Project Name</t>
  </si>
  <si>
    <t>API Key Profile</t>
  </si>
  <si>
    <t>Active Models</t>
  </si>
  <si>
    <t>Actual Cost ($)</t>
  </si>
  <si>
    <t>2026-05-27 to 2026-06-30</t>
  </si>
  <si>
    <t>My Billing Account 1</t>
  </si>
  <si>
    <t>Gemini API Key 1</t>
  </si>
  <si>
    <t>Gemini Pro / Flash</t>
  </si>
  <si>
    <t>2026-07-01 to 2026-07-20</t>
  </si>
  <si>
    <t>Gemini 2 Flash, 2.5 Flash/Pro, 3.5 Flash</t>
  </si>
  <si>
    <t>Total API Spend:</t>
  </si>
  <si>
    <t>Daily API Cost Breakdown (July 1 - 20, 2026)</t>
  </si>
  <si>
    <t>Date</t>
  </si>
  <si>
    <t>Cost ($)</t>
  </si>
  <si>
    <t>Jul 1</t>
  </si>
  <si>
    <t>Jul 2</t>
  </si>
  <si>
    <t>Jul 3</t>
  </si>
  <si>
    <t>Jul 4</t>
  </si>
  <si>
    <t>Jul 5</t>
  </si>
  <si>
    <t>Jul 6</t>
  </si>
  <si>
    <t>Jul 7</t>
  </si>
  <si>
    <t>Jul 8</t>
  </si>
  <si>
    <t>Jul 9</t>
  </si>
  <si>
    <t>Jul 10</t>
  </si>
  <si>
    <t>Jul 11</t>
  </si>
  <si>
    <t>Jul 12</t>
  </si>
  <si>
    <t>Jul 13</t>
  </si>
  <si>
    <t>Jul 14</t>
  </si>
  <si>
    <t>Jul 15</t>
  </si>
  <si>
    <t>July 1-20 Cost 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</si>
</sst>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>
    <font>
      <sz val="11"/>
      <color theme="1"/>
      <name val="Calibri"/>
      <family val="2"/>
      <scheme val="minor"/>
    </font>
    <font>
      <b/>
      <sz val="12"/>
      <color rgb="FF1B365D"/>
      <name val="Segoe UI"/>
    </font>
    <font>
      <b/>
      <sz val="10"/>
      <color rgb="FFFFFFFF"/>
      <name val="Segoe UI"/>
    </font>
    <font>
      <sz val="10"/>
      <name val="Segoe UI"/>
    </font>
    <font>
      <b/>
      <sz val="10"/>
      <name val="Segoe UI"/>
    </font>
    <font>
      <b/>
      <sz val="16"/>
      <color rgb="FFFFFFFF"/>
      <name val="Segoe UI"/>
    </font>
    <font>
      <b/>
      <sz val="9"/>
      <color rgb="FF718096"/>
      <name val="Segoe UI"/>
    </font>
    <font>
      <b/>
      <sz val="18"/>
      <color rgb="FF1B365D"/>
      <name val="Segoe UI"/>
    </font>
    <font>
      <b/>
      <sz val="18"/>
      <color rgb="FF2F855A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6CB0"/>
        <bgColor rgb="FF2B6CB0"/>
      </patternFill>
    </fill>
    <fill>
      <patternFill patternType="solid">
        <fgColor rgb="FFF7FAFC"/>
        <bgColor rgb="FFF7FAFC"/>
      </patternFill>
    </fill>
    <fill>
      <patternFill patternType="solid">
        <fgColor rgb="FFEBF8FF"/>
        <bgColor rgb="FFEBF8FF"/>
      </patternFill>
    </fill>
    <fill>
      <patternFill patternType="solid">
        <fgColor rgb="FFFFF5F5"/>
        <bgColor rgb="FFFFF5F5"/>
      </patternFill>
    </fill>
    <fill>
      <patternFill patternType="solid">
        <fgColor rgb="FFE6FFFA"/>
        <bgColor rgb="FFE6FFFA"/>
      </patternFill>
    </fill>
  </fills>
  <borders count="1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double">
        <color rgb="FF1B365D"/>
      </bottom>
      <diagonal/>
    </border>
    <border>
      <left/>
      <right/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64" fontId="4" fillId="0" borderId="2" xfId="0" applyNumberFormat="1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right" vertical="center"/>
    </xf>
    <xf numFmtId="164" fontId="4" fillId="0" borderId="3" xfId="0" applyNumberFormat="1" applyFont="1" applyBorder="1"/>
    <xf numFmtId="0" fontId="0" fillId="0" borderId="0" xfId="0" applyAlignment="1"/>
    <xf numFmtId="16" fontId="3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/>
    <xf numFmtId="164" fontId="7" fillId="5" borderId="1" xfId="0" applyNumberFormat="1" applyFont="1" applyFill="1" applyBorder="1" applyAlignment="1">
      <alignment horizontal="center" vertical="center"/>
    </xf>
    <xf numFmtId="164" fontId="7" fillId="6" borderId="4" xfId="0" applyNumberFormat="1" applyFont="1" applyFill="1" applyBorder="1" applyAlignment="1">
      <alignment horizontal="center" vertical="center"/>
    </xf>
    <xf numFmtId="164" fontId="7" fillId="6" borderId="5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164" fontId="8" fillId="7" borderId="8" xfId="0" applyNumberFormat="1" applyFont="1" applyFill="1" applyBorder="1" applyAlignment="1">
      <alignment horizontal="center" vertical="center"/>
    </xf>
    <xf numFmtId="164" fontId="8" fillId="7" borderId="9" xfId="0" applyNumberFormat="1" applyFont="1" applyFill="1" applyBorder="1" applyAlignment="1">
      <alignment horizontal="center" vertical="center"/>
    </xf>
    <xf numFmtId="164" fontId="8" fillId="7" borderId="10" xfId="0" applyNumberFormat="1" applyFont="1" applyFill="1" applyBorder="1" applyAlignment="1">
      <alignment horizontal="center" vertical="center"/>
    </xf>
    <xf numFmtId="164" fontId="8" fillId="7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API Costs (July 1 - 20, 2026)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Spend Data'!$B$3</c:f>
              <c:strCache>
                <c:ptCount val="1"/>
                <c:pt idx="0">
                  <c:v>Cost ($)</c:v>
                </c:pt>
              </c:strCache>
            </c:strRef>
          </c:tx>
          <c:invertIfNegative val="0"/>
          <c:cat>
            <c:strRef>
              <c:f>'Daily Spend Data'!$A$4:$A$23</c:f>
              <c:strCache>
                <c:ptCount val="20"/>
                <c:pt idx="0">
                  <c:v>Jul 1</c:v>
                </c:pt>
                <c:pt idx="1">
                  <c:v>Jul 2</c:v>
                </c:pt>
                <c:pt idx="2">
                  <c:v>Jul 3</c:v>
                </c:pt>
                <c:pt idx="3">
                  <c:v>Jul 4</c:v>
                </c:pt>
                <c:pt idx="4">
                  <c:v>Jul 5</c:v>
                </c:pt>
                <c:pt idx="5">
                  <c:v>Jul 6</c:v>
                </c:pt>
                <c:pt idx="6">
                  <c:v>Jul 7</c:v>
                </c:pt>
                <c:pt idx="7">
                  <c:v>Jul 8</c:v>
                </c:pt>
                <c:pt idx="8">
                  <c:v>Jul 9</c:v>
                </c:pt>
                <c:pt idx="9">
                  <c:v>Jul 10</c:v>
                </c:pt>
                <c:pt idx="10">
                  <c:v>Jul 11</c:v>
                </c:pt>
                <c:pt idx="11">
                  <c:v>Jul 12</c:v>
                </c:pt>
                <c:pt idx="12">
                  <c:v>Jul 13</c:v>
                </c:pt>
                <c:pt idx="13">
                  <c:v>Jul 14</c:v>
                </c:pt>
                <c:pt idx="14">
                  <c:v>Jul 15</c:v>
                </c:pt>
                <c:pt idx="15">
                  <c:v>16-Jul</c:v>
                </c:pt>
                <c:pt idx="16">
                  <c:v>17-Jul</c:v>
                </c:pt>
                <c:pt idx="17">
                  <c:v>18-Jul</c:v>
                </c:pt>
                <c:pt idx="18">
                  <c:v>19-Jul</c:v>
                </c:pt>
                <c:pt idx="19">
                  <c:v>20-Jul</c:v>
                </c:pt>
              </c:strCache>
            </c:strRef>
          </c:cat>
          <c:val>
            <c:numRef>
              <c:f>'Daily Spend Data'!$B$4:$B$23</c:f>
              <c:numCache>
                <c:formatCode>\$#,##0.00</c:formatCode>
                <c:ptCount val="20"/>
                <c:pt idx="0">
                  <c:v>0.05</c:v>
                </c:pt>
                <c:pt idx="1">
                  <c:v>1.1000000000000001</c:v>
                </c:pt>
                <c:pt idx="2">
                  <c:v>0</c:v>
                </c:pt>
                <c:pt idx="3">
                  <c:v>0</c:v>
                </c:pt>
                <c:pt idx="4">
                  <c:v>0.04</c:v>
                </c:pt>
                <c:pt idx="5">
                  <c:v>0.95</c:v>
                </c:pt>
                <c:pt idx="6">
                  <c:v>0.3</c:v>
                </c:pt>
                <c:pt idx="7">
                  <c:v>0.3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0.03</c:v>
                </c:pt>
                <c:pt idx="13">
                  <c:v>0.27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CC-45E5-97CF-B1F2E9D33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($)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8677275" cy="34194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G25" sqref="G25"/>
    </sheetView>
  </sheetViews>
  <sheetFormatPr defaultRowHeight="15"/>
  <cols>
    <col min="1" max="1" width="25.28515625" customWidth="1"/>
    <col min="2" max="2" width="30" customWidth="1"/>
    <col min="3" max="3" width="57.5703125" customWidth="1"/>
    <col min="4" max="6" width="18" customWidth="1"/>
  </cols>
  <sheetData>
    <row r="1" spans="1:6" ht="20.100000000000001" customHeight="1">
      <c r="A1" s="16" t="s">
        <v>0</v>
      </c>
      <c r="B1" s="16"/>
      <c r="C1" s="16"/>
      <c r="D1" s="16"/>
      <c r="E1" s="16"/>
      <c r="F1" s="13"/>
    </row>
    <row r="2" spans="1:6" ht="20.100000000000001" customHeight="1">
      <c r="A2" s="16"/>
      <c r="B2" s="16"/>
      <c r="C2" s="16"/>
      <c r="D2" s="16"/>
      <c r="E2" s="16"/>
      <c r="F2" s="13"/>
    </row>
    <row r="4" spans="1:6">
      <c r="A4" s="17" t="s">
        <v>1</v>
      </c>
      <c r="B4" s="18"/>
      <c r="C4" s="15" t="s">
        <v>2</v>
      </c>
      <c r="D4" s="22" t="s">
        <v>3</v>
      </c>
      <c r="E4" s="23"/>
    </row>
    <row r="5" spans="1:6" ht="15" customHeight="1">
      <c r="A5" s="19">
        <f>'Credit Ledger'!D6</f>
        <v>20</v>
      </c>
      <c r="B5" s="18"/>
      <c r="C5" s="20">
        <f>'Usage &amp; Spend Tracker'!F6</f>
        <v>13.271999999999998</v>
      </c>
      <c r="D5" s="24">
        <f>A5-C5</f>
        <v>6.7280000000000015</v>
      </c>
      <c r="E5" s="25"/>
    </row>
    <row r="6" spans="1:6">
      <c r="A6" s="18"/>
      <c r="B6" s="18"/>
      <c r="C6" s="21"/>
      <c r="D6" s="26"/>
      <c r="E6" s="27"/>
    </row>
    <row r="8" spans="1:6" ht="24.95" customHeight="1">
      <c r="A8" s="1" t="s">
        <v>4</v>
      </c>
    </row>
    <row r="29" spans="1:3" ht="24.95" customHeight="1">
      <c r="A29" s="1" t="s">
        <v>5</v>
      </c>
    </row>
    <row r="30" spans="1:3" ht="21.95" customHeight="1">
      <c r="A30" s="2" t="s">
        <v>6</v>
      </c>
      <c r="B30" s="2" t="s">
        <v>7</v>
      </c>
      <c r="C30" s="2" t="s">
        <v>8</v>
      </c>
    </row>
    <row r="31" spans="1:3" ht="20.100000000000001" customHeight="1">
      <c r="A31" s="3" t="s">
        <v>9</v>
      </c>
      <c r="B31" s="4" t="s">
        <v>10</v>
      </c>
      <c r="C31" s="3" t="s">
        <v>11</v>
      </c>
    </row>
    <row r="32" spans="1:3" ht="20.100000000000001" customHeight="1">
      <c r="A32" s="3" t="s">
        <v>12</v>
      </c>
      <c r="B32" s="4" t="s">
        <v>13</v>
      </c>
      <c r="C32" s="3" t="s">
        <v>14</v>
      </c>
    </row>
    <row r="33" spans="1:3" ht="20.100000000000001" customHeight="1">
      <c r="A33" s="3" t="s">
        <v>15</v>
      </c>
      <c r="B33" s="4" t="s">
        <v>16</v>
      </c>
      <c r="C33" s="3" t="s">
        <v>17</v>
      </c>
    </row>
    <row r="34" spans="1:3" ht="20.100000000000001" customHeight="1">
      <c r="A34" s="3" t="s">
        <v>18</v>
      </c>
      <c r="B34" s="4" t="s">
        <v>19</v>
      </c>
      <c r="C34" s="3" t="s">
        <v>20</v>
      </c>
    </row>
    <row r="35" spans="1:3" ht="20.100000000000001" customHeight="1">
      <c r="A35" s="3" t="s">
        <v>21</v>
      </c>
      <c r="B35" s="4" t="s">
        <v>22</v>
      </c>
      <c r="C35" s="3" t="s">
        <v>23</v>
      </c>
    </row>
  </sheetData>
  <mergeCells count="6">
    <mergeCell ref="A1:E2"/>
    <mergeCell ref="A4:B4"/>
    <mergeCell ref="A5:B6"/>
    <mergeCell ref="C5:C6"/>
    <mergeCell ref="D4:E4"/>
    <mergeCell ref="D5:E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E17" sqref="E17"/>
    </sheetView>
  </sheetViews>
  <sheetFormatPr defaultRowHeight="15"/>
  <cols>
    <col min="1" max="1" width="37" customWidth="1"/>
    <col min="2" max="2" width="16" customWidth="1"/>
    <col min="3" max="3" width="28" customWidth="1"/>
    <col min="4" max="4" width="24" customWidth="1"/>
    <col min="5" max="5" width="62" customWidth="1"/>
  </cols>
  <sheetData>
    <row r="1" spans="1:5" ht="24.95" customHeight="1">
      <c r="A1" s="1" t="s">
        <v>24</v>
      </c>
    </row>
    <row r="3" spans="1:5" ht="24" customHeight="1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</row>
    <row r="4" spans="1:5" ht="20.100000000000001" customHeight="1">
      <c r="A4" s="4" t="s">
        <v>30</v>
      </c>
      <c r="B4" s="4" t="s">
        <v>31</v>
      </c>
      <c r="C4" s="3" t="s">
        <v>32</v>
      </c>
      <c r="D4" s="6">
        <v>10</v>
      </c>
      <c r="E4" s="3" t="s">
        <v>33</v>
      </c>
    </row>
    <row r="5" spans="1:5" ht="20.100000000000001" customHeight="1">
      <c r="A5" s="4" t="s">
        <v>34</v>
      </c>
      <c r="B5" s="4" t="s">
        <v>35</v>
      </c>
      <c r="C5" s="3" t="s">
        <v>36</v>
      </c>
      <c r="D5" s="6">
        <v>10</v>
      </c>
      <c r="E5" s="3" t="s">
        <v>37</v>
      </c>
    </row>
    <row r="6" spans="1:5">
      <c r="C6" s="7" t="s">
        <v>38</v>
      </c>
      <c r="D6" s="8">
        <f>SUM(D4:D5)</f>
        <v>20</v>
      </c>
    </row>
    <row r="7" spans="1:5">
      <c r="C7" s="7"/>
      <c r="D7" s="12"/>
    </row>
    <row r="8" spans="1:5" ht="20.100000000000001" customHeight="1">
      <c r="A8" s="9"/>
      <c r="B8" s="9"/>
      <c r="C8" s="10"/>
      <c r="D8" s="11"/>
      <c r="E8" s="1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D19" sqref="D19"/>
    </sheetView>
  </sheetViews>
  <sheetFormatPr defaultRowHeight="15"/>
  <cols>
    <col min="1" max="1" width="32" customWidth="1"/>
    <col min="2" max="2" width="24" customWidth="1"/>
    <col min="3" max="3" width="25" customWidth="1"/>
    <col min="4" max="4" width="30" customWidth="1"/>
    <col min="5" max="5" width="44" customWidth="1"/>
    <col min="6" max="6" width="27" customWidth="1"/>
  </cols>
  <sheetData>
    <row r="1" spans="1:6" ht="24.95" customHeight="1">
      <c r="A1" s="1" t="s">
        <v>39</v>
      </c>
    </row>
    <row r="3" spans="1:6" ht="24" customHeight="1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</row>
    <row r="4" spans="1:6" ht="20.100000000000001" customHeight="1">
      <c r="A4" s="4" t="s">
        <v>46</v>
      </c>
      <c r="B4" s="3" t="s">
        <v>47</v>
      </c>
      <c r="C4" s="3" t="s">
        <v>10</v>
      </c>
      <c r="D4" s="4" t="s">
        <v>48</v>
      </c>
      <c r="E4" s="3" t="s">
        <v>49</v>
      </c>
      <c r="F4" s="6">
        <v>10</v>
      </c>
    </row>
    <row r="5" spans="1:6" ht="20.100000000000001" customHeight="1">
      <c r="A5" s="4" t="s">
        <v>50</v>
      </c>
      <c r="B5" s="3" t="s">
        <v>47</v>
      </c>
      <c r="C5" s="3" t="s">
        <v>10</v>
      </c>
      <c r="D5" s="4" t="s">
        <v>13</v>
      </c>
      <c r="E5" s="3" t="s">
        <v>51</v>
      </c>
      <c r="F5" s="6">
        <f>'Daily Spend Data'!B24</f>
        <v>3.2719999999999994</v>
      </c>
    </row>
    <row r="6" spans="1:6">
      <c r="E6" s="7" t="s">
        <v>52</v>
      </c>
      <c r="F6" s="8">
        <f>SUM(F4:F5)</f>
        <v>13.271999999999998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>
      <selection activeCell="E24" sqref="E24"/>
    </sheetView>
  </sheetViews>
  <sheetFormatPr defaultRowHeight="15"/>
  <cols>
    <col min="1" max="1" width="18.5703125" customWidth="1"/>
    <col min="2" max="2" width="15" customWidth="1"/>
  </cols>
  <sheetData>
    <row r="1" spans="1:2" ht="24.95" customHeight="1">
      <c r="A1" s="1" t="s">
        <v>53</v>
      </c>
    </row>
    <row r="3" spans="1:2" ht="24" customHeight="1">
      <c r="A3" s="2" t="s">
        <v>54</v>
      </c>
      <c r="B3" s="2" t="s">
        <v>55</v>
      </c>
    </row>
    <row r="4" spans="1:2" ht="18.95" customHeight="1">
      <c r="A4" s="4" t="s">
        <v>56</v>
      </c>
      <c r="B4" s="6">
        <v>0.05</v>
      </c>
    </row>
    <row r="5" spans="1:2" ht="18.95" customHeight="1">
      <c r="A5" s="4" t="s">
        <v>57</v>
      </c>
      <c r="B5" s="6">
        <v>1.1000000000000001</v>
      </c>
    </row>
    <row r="6" spans="1:2" ht="18.95" customHeight="1">
      <c r="A6" s="4" t="s">
        <v>58</v>
      </c>
      <c r="B6" s="6">
        <v>0</v>
      </c>
    </row>
    <row r="7" spans="1:2" ht="18.95" customHeight="1">
      <c r="A7" s="4" t="s">
        <v>59</v>
      </c>
      <c r="B7" s="6">
        <v>0</v>
      </c>
    </row>
    <row r="8" spans="1:2" ht="18.95" customHeight="1">
      <c r="A8" s="4" t="s">
        <v>60</v>
      </c>
      <c r="B8" s="6">
        <v>0.04</v>
      </c>
    </row>
    <row r="9" spans="1:2" ht="18.95" customHeight="1">
      <c r="A9" s="4" t="s">
        <v>61</v>
      </c>
      <c r="B9" s="6">
        <v>0.95</v>
      </c>
    </row>
    <row r="10" spans="1:2" ht="18.95" customHeight="1">
      <c r="A10" s="4" t="s">
        <v>62</v>
      </c>
      <c r="B10" s="6">
        <v>0.3</v>
      </c>
    </row>
    <row r="11" spans="1:2" ht="18.95" customHeight="1">
      <c r="A11" s="4" t="s">
        <v>63</v>
      </c>
      <c r="B11" s="6">
        <v>0.3</v>
      </c>
    </row>
    <row r="12" spans="1:2" ht="18.95" customHeight="1">
      <c r="A12" s="4" t="s">
        <v>64</v>
      </c>
      <c r="B12" s="6">
        <v>0.01</v>
      </c>
    </row>
    <row r="13" spans="1:2" ht="18.95" customHeight="1">
      <c r="A13" s="4" t="s">
        <v>65</v>
      </c>
      <c r="B13" s="6">
        <v>0</v>
      </c>
    </row>
    <row r="14" spans="1:2" ht="18.95" customHeight="1">
      <c r="A14" s="4" t="s">
        <v>66</v>
      </c>
      <c r="B14" s="6">
        <v>0</v>
      </c>
    </row>
    <row r="15" spans="1:2" ht="18.95" customHeight="1">
      <c r="A15" s="4" t="s">
        <v>67</v>
      </c>
      <c r="B15" s="6">
        <v>0</v>
      </c>
    </row>
    <row r="16" spans="1:2" ht="18.95" customHeight="1">
      <c r="A16" s="4" t="s">
        <v>68</v>
      </c>
      <c r="B16" s="6">
        <v>0.03</v>
      </c>
    </row>
    <row r="17" spans="1:2" ht="18.95" customHeight="1">
      <c r="A17" s="4" t="s">
        <v>69</v>
      </c>
      <c r="B17" s="6">
        <v>0.27</v>
      </c>
    </row>
    <row r="18" spans="1:2" ht="18.95" customHeight="1">
      <c r="A18" s="4" t="s">
        <v>70</v>
      </c>
      <c r="B18" s="6">
        <v>0</v>
      </c>
    </row>
    <row r="19" spans="1:2" ht="18.95" customHeight="1">
      <c r="A19" s="14">
        <v>46219</v>
      </c>
      <c r="B19" s="6">
        <v>0</v>
      </c>
    </row>
    <row r="20" spans="1:2" ht="18.95" customHeight="1">
      <c r="A20" s="14">
        <v>46220</v>
      </c>
      <c r="B20" s="6">
        <v>0</v>
      </c>
    </row>
    <row r="21" spans="1:2" ht="18.95" customHeight="1">
      <c r="A21" s="14">
        <v>46221</v>
      </c>
      <c r="B21" s="6">
        <v>0</v>
      </c>
    </row>
    <row r="22" spans="1:2" ht="18.95" customHeight="1">
      <c r="A22" s="14">
        <v>46222</v>
      </c>
      <c r="B22" s="6">
        <v>0</v>
      </c>
    </row>
    <row r="23" spans="1:2" ht="18.95" customHeight="1">
      <c r="A23" s="14">
        <v>46223</v>
      </c>
      <c r="B23" s="6">
        <v>0.222</v>
      </c>
    </row>
    <row r="24" spans="1:2">
      <c r="A24" s="7" t="s">
        <v>71</v>
      </c>
      <c r="B24" s="8">
        <f>SUM(B4:B23)</f>
        <v>3.2719999999999994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2026-07-16T06:07:15Z</dcterms:created>
  <dcterms:modified xsi:type="dcterms:W3CDTF">2026-07-23T00:57:01Z</dcterms:modified>
  <cp:category/>
  <cp:contentStatus/>
</cp:coreProperties>
</file>